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Cost &amp; Benefit Estimation" sheetId="2" state="visible" r:id="rId4"/>
    <sheet name="Strategy A - Vaccination" sheetId="3" state="visible" r:id="rId5"/>
    <sheet name="Strategy B - Test-and-Slaughter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76" authorId="0">
      <text>
        <r>
          <rPr>
            <sz val="10"/>
            <rFont val="Arial"/>
            <family val="2"/>
          </rPr>
          <t xml:space="preserve">Exact value 0.0193366, back-calculated from the published Year 2 animal benefit (651,741 EUR). Displays as 1.93%.</t>
        </r>
      </text>
    </comment>
    <comment ref="E76" authorId="0">
      <text>
        <r>
          <rPr>
            <sz val="10"/>
            <rFont val="Arial"/>
            <family val="2"/>
          </rPr>
          <t xml:space="preserve">Exact value 0.0402781, back-calculated from the published Year 3 animal benefit (1,357,577 EUR). Displays as 4.03%.</t>
        </r>
      </text>
    </comment>
  </commentList>
</comments>
</file>

<file path=xl/sharedStrings.xml><?xml version="1.0" encoding="utf-8"?>
<sst xmlns="http://schemas.openxmlformats.org/spreadsheetml/2006/main" count="318" uniqueCount="189">
  <si>
    <t xml:space="preserve">Brucellosis Control Cost-Benefit Analysis — Worked Workbook (with formulas)</t>
  </si>
  <si>
    <t xml:space="preserve">Purpose</t>
  </si>
  <si>
    <t xml:space="preserve">This workbook is the formula version of the brucellosis control cost-benefit exercise: comparing a vaccination program against a test-and-slaughter program for controlling B. melitensis in sheep and goats, over an 8-year period. Every answer cell holds a live Excel formula, so you can click any yellow cell to see how it is calculated, or change an input and watch the results update.</t>
  </si>
  <si>
    <t xml:space="preserve">How to use this worksheet</t>
  </si>
  <si>
    <t xml:space="preserve">1. "Cost &amp; Benefit Estimation" sheet — shows where the Year 1–3 costs and benefits come from (vaccination cost, test-and-slaughter cost, avoided human cases, avoided animal losses). Check rows compare each result with the published figure.</t>
  </si>
  <si>
    <t xml:space="preserve">2. "Strategy A - Vaccination" sheet — net value, discount factor, discounted cost and benefit, NPV per year, and cumulative NPV. The gold cell (C3) is the interest rate, 7.74%.</t>
  </si>
  <si>
    <t xml:space="preserve">3. "Strategy B - Test-and-Slaughter" sheet — the same calculations for test-and-slaughter. Each strategy sheet has its own rate cell (C3); change both if you test another rate.</t>
  </si>
  <si>
    <t xml:space="preserve">4. "Summary" sheet — the six comparison metrics link to the strategy sheets, and the two decision answers are chosen by formula (higher BCR for Q1, higher NPV for Q2).</t>
  </si>
  <si>
    <t xml:space="preserve">5. Try it: change the rate, coverage, prevalence or a unit cost and see whether the decisions change.</t>
  </si>
  <si>
    <t xml:space="preserve">Colour guide</t>
  </si>
  <si>
    <t xml:space="preserve">Blue cell — given data. These are the numbers you need; do not edit them.</t>
  </si>
  <si>
    <t xml:space="preserve">Gold cell — key assumption (the interest rate). Already set for you.</t>
  </si>
  <si>
    <t xml:space="preserve">Yellow cell — calculated answer. Contains a formula; click it to see how it works.</t>
  </si>
  <si>
    <t xml:space="preserve">Key terms</t>
  </si>
  <si>
    <t xml:space="preserve">Total annual cost / benefit — The program’s actual costs and benefits each year, as reported in the source study.</t>
  </si>
  <si>
    <t xml:space="preserve">Interest rate (r) — Reflects the time value of money; used to discount future years back to today. Here, r = 7.74% (Bosnia and Herzegovina’s average long-term commercial lending rate in 2009).</t>
  </si>
  <si>
    <t xml:space="preserve">Discount factor — 1 ÷ (1 + r)^t, where t = year number − 1 (so Year 1 has t = 0, undiscounted).</t>
  </si>
  <si>
    <t xml:space="preserve">Net Present Value (NPV) — The value of the strategy in today’s money. Positive NPV means discounted benefits exceed discounted costs.</t>
  </si>
  <si>
    <t xml:space="preserve">Cost-Benefit Ratio (BCR) — Total discounted benefit ÷ total discounted cost. Above 1.0 means the strategy pays off.</t>
  </si>
  <si>
    <t xml:space="preserve">Source</t>
  </si>
  <si>
    <t xml:space="preserve">Hadzovic, D., Fejzic, N., Seric-Haracic, S., van Asseldonk, M., &amp; Bergevoet, R.H.M. (2025). Cost-benefit analysis of the small ruminants vaccination program against brucellosis (B. melitensis) in Bosnia and Herzegovina. Acta Veterinaria Eurasia, 51, 0082.</t>
  </si>
  <si>
    <t xml:space="preserve">Before You Start - Cost &amp; Benefit Estimation (Years 1-3)</t>
  </si>
  <si>
    <t xml:space="preserve">Shows where the Year 1-3 figures in the Strategy sheets come from. Change any blue input and every yellow cell recalculates.</t>
  </si>
  <si>
    <t xml:space="preserve">Given data</t>
  </si>
  <si>
    <t xml:space="preserve">Calculated</t>
  </si>
  <si>
    <t xml:space="preserve">1.  GIVEN INPUTS</t>
  </si>
  <si>
    <t xml:space="preserve">Item</t>
  </si>
  <si>
    <t xml:space="preserve">Unit</t>
  </si>
  <si>
    <t xml:space="preserve">Value</t>
  </si>
  <si>
    <t xml:space="preserve">Hint / source</t>
  </si>
  <si>
    <t xml:space="preserve">Population</t>
  </si>
  <si>
    <t xml:space="preserve">Sheep population</t>
  </si>
  <si>
    <t xml:space="preserve">head</t>
  </si>
  <si>
    <t xml:space="preserve">Goat population</t>
  </si>
  <si>
    <t xml:space="preserve">Vaccination program - per-animal costs</t>
  </si>
  <si>
    <t xml:space="preserve">Vaccine cost per animal</t>
  </si>
  <si>
    <t xml:space="preserve">EUR/head</t>
  </si>
  <si>
    <t xml:space="preserve">Veterinary / administration cost per animal</t>
  </si>
  <si>
    <t xml:space="preserve">Other cost per animal</t>
  </si>
  <si>
    <t xml:space="preserve">Share of population sampled &amp; tested alongside vaccination</t>
  </si>
  <si>
    <t xml:space="preserve">%</t>
  </si>
  <si>
    <t xml:space="preserve">Sampling &amp; testing (both strategies)</t>
  </si>
  <si>
    <t xml:space="preserve">Sampling cost per animal tested</t>
  </si>
  <si>
    <t xml:space="preserve">Testing cost per animal tested</t>
  </si>
  <si>
    <t xml:space="preserve">Test-and-slaughter</t>
  </si>
  <si>
    <t xml:space="preserve">Share of population sampled, tested &amp; culled each year</t>
  </si>
  <si>
    <t xml:space="preserve">Replacement cost per culled animal</t>
  </si>
  <si>
    <t xml:space="preserve">Destruction cost per culled animal</t>
  </si>
  <si>
    <t xml:space="preserve">Prevalence in Year 1</t>
  </si>
  <si>
    <t xml:space="preserve">From the epidemiological model.</t>
  </si>
  <si>
    <t xml:space="preserve">Annual fall in prevalence under test-and-slaughter</t>
  </si>
  <si>
    <t xml:space="preserve">Prevalence each year = previous year x (1 - this rate).</t>
  </si>
  <si>
    <t xml:space="preserve">Human case costs</t>
  </si>
  <si>
    <t xml:space="preserve">Income loss due to sick leave</t>
  </si>
  <si>
    <t xml:space="preserve">EUR/case</t>
  </si>
  <si>
    <t xml:space="preserve">Hospitalization</t>
  </si>
  <si>
    <t xml:space="preserve">Treatment / medication</t>
  </si>
  <si>
    <t xml:space="preserve">Other family costs</t>
  </si>
  <si>
    <t xml:space="preserve">Animal production losses</t>
  </si>
  <si>
    <t xml:space="preserve">Reduction in reproduction from infection</t>
  </si>
  <si>
    <t xml:space="preserve">Reduction in milk yield from infection</t>
  </si>
  <si>
    <t xml:space="preserve">Reproduction rate - sheep</t>
  </si>
  <si>
    <t xml:space="preserve">lambs/ewe/yr</t>
  </si>
  <si>
    <t xml:space="preserve">Reproduction rate - goats</t>
  </si>
  <si>
    <t xml:space="preserve">kids/doe/yr</t>
  </si>
  <si>
    <t xml:space="preserve">Price per lamb</t>
  </si>
  <si>
    <t xml:space="preserve">Price per kid</t>
  </si>
  <si>
    <t xml:space="preserve">Milk yield - sheep</t>
  </si>
  <si>
    <t xml:space="preserve">L/ewe/yr</t>
  </si>
  <si>
    <t xml:space="preserve">Milk yield - goats</t>
  </si>
  <si>
    <t xml:space="preserve">L/doe/yr</t>
  </si>
  <si>
    <t xml:space="preserve">Milk price - sheep</t>
  </si>
  <si>
    <t xml:space="preserve">EUR/L</t>
  </si>
  <si>
    <t xml:space="preserve">Milk price - goats</t>
  </si>
  <si>
    <t xml:space="preserve">2.  COST ESTIMATION - VACCINATION PROGRAM</t>
  </si>
  <si>
    <t xml:space="preserve">Year 1</t>
  </si>
  <si>
    <t xml:space="preserve">Year 2</t>
  </si>
  <si>
    <t xml:space="preserve">Year 3</t>
  </si>
  <si>
    <t xml:space="preserve">Vaccination coverage</t>
  </si>
  <si>
    <t xml:space="preserve">83.3% in Year 1 (first mass campaign), 20.2% from Year 2 onward.</t>
  </si>
  <si>
    <t xml:space="preserve">Vaccination cost - sheep</t>
  </si>
  <si>
    <t xml:space="preserve">EUR</t>
  </si>
  <si>
    <t xml:space="preserve">Population x coverage x (vaccine + vet + other) + population x tested share x (sampling + testing).</t>
  </si>
  <si>
    <t xml:space="preserve">Vaccination cost - goats</t>
  </si>
  <si>
    <t xml:space="preserve">Same formula, goat population.</t>
  </si>
  <si>
    <t xml:space="preserve">Total vaccination costs</t>
  </si>
  <si>
    <t xml:space="preserve">Sheep + goats.</t>
  </si>
  <si>
    <t xml:space="preserve">Awareness campaign</t>
  </si>
  <si>
    <t xml:space="preserve">Training</t>
  </si>
  <si>
    <t xml:space="preserve">Monitoring</t>
  </si>
  <si>
    <t xml:space="preserve">Office running costs</t>
  </si>
  <si>
    <t xml:space="preserve">Cold chain set-up &amp; maintenance</t>
  </si>
  <si>
    <t xml:space="preserve">Fixed program costs</t>
  </si>
  <si>
    <t xml:space="preserve">Sum of the five fixed-cost rows above.</t>
  </si>
  <si>
    <t xml:space="preserve">Total annual cost (calculated)</t>
  </si>
  <si>
    <t xml:space="preserve">Total vaccination costs + fixed program costs.</t>
  </si>
  <si>
    <t xml:space="preserve">Total annual cost (given, Strategy A sheet)</t>
  </si>
  <si>
    <t xml:space="preserve">Linked from the Strategy A sheet.</t>
  </si>
  <si>
    <t xml:space="preserve">Check: calculated - given</t>
  </si>
  <si>
    <t xml:space="preserve">Within +/-1 EUR (published figures are rounded).</t>
  </si>
  <si>
    <t xml:space="preserve">3.  COST ESTIMATION - TEST-AND-SLAUGHTER</t>
  </si>
  <si>
    <t xml:space="preserve">Prevalence</t>
  </si>
  <si>
    <t xml:space="preserve">Year 1 from inputs; then previous year x (1 - annual fall). Gives 4.50%, 2.81%, 1.76%.</t>
  </si>
  <si>
    <t xml:space="preserve">Test-and-slaughter cost - sheep</t>
  </si>
  <si>
    <t xml:space="preserve">Population x tested share x (sampling + testing) + population x tested share x prevalence x (replacement + destruction).</t>
  </si>
  <si>
    <t xml:space="preserve">Test-and-slaughter cost - goats</t>
  </si>
  <si>
    <t xml:space="preserve">Total annual cost (given, Strategy B sheet)</t>
  </si>
  <si>
    <t xml:space="preserve">Linked from the Strategy B sheet.</t>
  </si>
  <si>
    <t xml:space="preserve">4.  BENEFIT ESTIMATION - AVOIDED HUMAN CASES (same for both strategies)</t>
  </si>
  <si>
    <t xml:space="preserve">Avoided human cases</t>
  </si>
  <si>
    <t xml:space="preserve">cases</t>
  </si>
  <si>
    <t xml:space="preserve">From the model, vs. the rising trend under no control.</t>
  </si>
  <si>
    <t xml:space="preserve">Cost per human case</t>
  </si>
  <si>
    <t xml:space="preserve">Income loss + hospitalization + treatment + other family costs.</t>
  </si>
  <si>
    <t xml:space="preserve">Avoided human-case benefit (calculated)</t>
  </si>
  <si>
    <t xml:space="preserve">Avoided cases x cost per case.</t>
  </si>
  <si>
    <t xml:space="preserve">Avoided human-case benefit (published)</t>
  </si>
  <si>
    <t xml:space="preserve">Hadzovic et al. (2025).</t>
  </si>
  <si>
    <t xml:space="preserve">Check: calculated - published</t>
  </si>
  <si>
    <t xml:space="preserve">Small gap: the model's case counts are not whole numbers (about 402.6 and 742.7).</t>
  </si>
  <si>
    <t xml:space="preserve">5.  BENEFIT ESTIMATION - AVOIDED ANIMAL LOSSES</t>
  </si>
  <si>
    <t xml:space="preserve">Fall in prevalence (delta P)</t>
  </si>
  <si>
    <t xml:space="preserve">From the epidemiological model, rounded to 1.9% and 4% for hand calculation.</t>
  </si>
  <si>
    <t xml:space="preserve">Avoided abortion value - sheep</t>
  </si>
  <si>
    <t xml:space="preserve">delta P x sheep population x reduction in reproduction x reproduction rate x price per lamb.</t>
  </si>
  <si>
    <t xml:space="preserve">Avoided milk-loss value - sheep</t>
  </si>
  <si>
    <t xml:space="preserve">delta P x sheep population x reduction in milk yield x milk yield x milk price.</t>
  </si>
  <si>
    <t xml:space="preserve">Avoided abortion value - goats</t>
  </si>
  <si>
    <t xml:space="preserve">delta P x goat population x reduction in reproduction x reproduction rate x price per kid.</t>
  </si>
  <si>
    <t xml:space="preserve">Avoided milk-loss value - goats</t>
  </si>
  <si>
    <t xml:space="preserve">delta P x goat population x reduction in milk yield x milk yield x milk price.</t>
  </si>
  <si>
    <t xml:space="preserve">Total avoided animal-loss benefit (calculated)</t>
  </si>
  <si>
    <t xml:space="preserve">Sum of the four values above.</t>
  </si>
  <si>
    <t xml:space="preserve">Avoided animal-loss benefit (published)</t>
  </si>
  <si>
    <t xml:space="preserve">Slightly below published because delta P is rounded (about 1.7% lower in Year 2, 0.7% in Year 3).</t>
  </si>
  <si>
    <t xml:space="preserve">Strategy A - Vaccination</t>
  </si>
  <si>
    <t xml:space="preserve">Interest rate used for discounting (r):</t>
  </si>
  <si>
    <t xml:space="preserve">Key assumption</t>
  </si>
  <si>
    <t xml:space="preserve">Calculated (formula)</t>
  </si>
  <si>
    <t xml:space="preserve">Year 4</t>
  </si>
  <si>
    <t xml:space="preserve">Year 5</t>
  </si>
  <si>
    <t xml:space="preserve">Year 6</t>
  </si>
  <si>
    <t xml:space="preserve">Year 7</t>
  </si>
  <si>
    <t xml:space="preserve">Year 8</t>
  </si>
  <si>
    <t xml:space="preserve">Total</t>
  </si>
  <si>
    <t xml:space="preserve">Hint (how to calculate)</t>
  </si>
  <si>
    <t xml:space="preserve">1.  GIVEN DATA (EUR)</t>
  </si>
  <si>
    <t xml:space="preserve">Total annual cost</t>
  </si>
  <si>
    <t xml:space="preserve">EUR/yr</t>
  </si>
  <si>
    <t xml:space="preserve">Total annual benefit</t>
  </si>
  <si>
    <t xml:space="preserve">2.  NET VALUE &amp; DISCOUNTED CASH FLOW (EUR)</t>
  </si>
  <si>
    <t xml:space="preserve">Net value (undiscounted)</t>
  </si>
  <si>
    <t xml:space="preserve">Total annual benefit − total annual cost.</t>
  </si>
  <si>
    <t xml:space="preserve">Discount factor (r = 7.74%)</t>
  </si>
  <si>
    <t xml:space="preserve">—</t>
  </si>
  <si>
    <t xml:space="preserve">1 ÷ (1 + r)^t, using the rate in 'Strategy A - Vaccination'!$C$3. t = year number − 1. No total for this row.</t>
  </si>
  <si>
    <t xml:space="preserve">Discounted cost</t>
  </si>
  <si>
    <t xml:space="preserve">Total annual cost × discount factor.</t>
  </si>
  <si>
    <t xml:space="preserve">Discounted benefit</t>
  </si>
  <si>
    <t xml:space="preserve">Total annual benefit × discount factor.</t>
  </si>
  <si>
    <t xml:space="preserve">Net present value (per year)</t>
  </si>
  <si>
    <t xml:space="preserve">Discounted benefit − discounted cost.</t>
  </si>
  <si>
    <t xml:space="preserve">Cumulative NPV</t>
  </si>
  <si>
    <t xml:space="preserve">Running sum of NPV per year. Total should match the final year’s cumulative value.</t>
  </si>
  <si>
    <t xml:space="preserve">Strategy B - Test-and-Slaughter</t>
  </si>
  <si>
    <t xml:space="preserve">1 ÷ (1 + r)^t, using the rate in 'Strategy B - Test-and-Slaughter'!$C$3. t = year number − 1. No total for this row.</t>
  </si>
  <si>
    <t xml:space="preserve">Summary: Compare the Two Strategies</t>
  </si>
  <si>
    <t xml:space="preserve">Yellow cell = calculated (formula)</t>
  </si>
  <si>
    <t xml:space="preserve">Metric</t>
  </si>
  <si>
    <t xml:space="preserve">Vaccination</t>
  </si>
  <si>
    <t xml:space="preserve">Test-and-Slaughter</t>
  </si>
  <si>
    <t xml:space="preserve">Hint</t>
  </si>
  <si>
    <t xml:space="preserve">Total cost (undiscounted, 8-yr)</t>
  </si>
  <si>
    <t xml:space="preserve">Total column, Total annual cost row on each strategy's sheet.</t>
  </si>
  <si>
    <t xml:space="preserve">Total benefit (undiscounted, 8-yr)</t>
  </si>
  <si>
    <t xml:space="preserve">Total column, Total annual benefit row on each strategy's sheet.</t>
  </si>
  <si>
    <t xml:space="preserve">Total discounted cost</t>
  </si>
  <si>
    <t xml:space="preserve">Total column, Discounted cost row.</t>
  </si>
  <si>
    <t xml:space="preserve">Total discounted benefit</t>
  </si>
  <si>
    <t xml:space="preserve">Total column, Discounted benefit row.</t>
  </si>
  <si>
    <t xml:space="preserve">Net present value – NPV</t>
  </si>
  <si>
    <t xml:space="preserve">Sum of NPV per year (= final cumulative NPV).</t>
  </si>
  <si>
    <t xml:space="preserve">Cost-benefit ratio – BCR</t>
  </si>
  <si>
    <t xml:space="preserve">Total discounted benefit ÷ total discounted cost.</t>
  </si>
  <si>
    <t xml:space="preserve">3.  DECISION</t>
  </si>
  <si>
    <t xml:space="preserve">Q1. Limited budget — which strategy offers better value for money?</t>
  </si>
  <si>
    <t xml:space="preserve">Picks the strategy with the higher BCR (value per euro spent).</t>
  </si>
  <si>
    <t xml:space="preserve">Q2. No budget constraint — which strategy gives the largest NPV?</t>
  </si>
  <si>
    <t xml:space="preserve">Picks the strategy with the higher total NPV (largest absolute gain).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</si>
</sst>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00"/>
    <numFmt numFmtId="167" formatCode="0.00"/>
    <numFmt numFmtId="168" formatCode="0.0%"/>
    <numFmt numFmtId="169" formatCode="0.00%"/>
    <numFmt numFmtId="170" formatCode="0.0"/>
    <numFmt numFmtId="171" formatCode="0.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BF6EC"/>
      <name val="Arial"/>
      <family val="0"/>
      <charset val="1"/>
    </font>
    <font>
      <b val="true"/>
      <sz val="12"/>
      <color rgb="FF4E1F19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7A6F5E"/>
      <name val="Arial"/>
      <family val="0"/>
      <charset val="1"/>
    </font>
    <font>
      <sz val="9"/>
      <color rgb="FF4E1F19"/>
      <name val="Arial"/>
      <family val="0"/>
      <charset val="1"/>
    </font>
    <font>
      <b val="true"/>
      <sz val="11"/>
      <color rgb="FF4E1F19"/>
      <name val="Arial"/>
      <family val="0"/>
      <charset val="1"/>
    </font>
    <font>
      <b val="true"/>
      <sz val="10"/>
      <color rgb="FFFBF6EC"/>
      <name val="Arial"/>
      <family val="0"/>
      <charset val="1"/>
    </font>
    <font>
      <b val="true"/>
      <i val="true"/>
      <sz val="10"/>
      <color rgb="FF7A6F5E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sz val="9"/>
      <color rgb="FF7A6F5E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6B2B23"/>
        <bgColor rgb="FF4E1F19"/>
      </patternFill>
    </fill>
    <fill>
      <patternFill patternType="solid">
        <fgColor rgb="FFDCE6F1"/>
        <bgColor rgb="FFF1EDE4"/>
      </patternFill>
    </fill>
    <fill>
      <patternFill patternType="solid">
        <fgColor rgb="FFFCE4B4"/>
        <bgColor rgb="FFF1E9D8"/>
      </patternFill>
    </fill>
    <fill>
      <patternFill patternType="solid">
        <fgColor rgb="FFFFF9C4"/>
        <bgColor rgb="FFFBF6EC"/>
      </patternFill>
    </fill>
    <fill>
      <patternFill patternType="solid">
        <fgColor rgb="FFF1E9D8"/>
        <bgColor rgb="FFF1EDE4"/>
      </patternFill>
    </fill>
    <fill>
      <patternFill patternType="solid">
        <fgColor rgb="FFF1EDE4"/>
        <bgColor rgb="FFF1E9D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2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0" fillId="5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BF6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6F5E"/>
      <rgbColor rgb="FF9999FF"/>
      <rgbColor rgb="FF993366"/>
      <rgbColor rgb="FFFFF9C4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1EDE4"/>
      <rgbColor rgb="FFF1E9D8"/>
      <rgbColor rgb="FF99CCFF"/>
      <rgbColor rgb="FFFF99CC"/>
      <rgbColor rgb="FFCC99FF"/>
      <rgbColor rgb="FFFCE4B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E1F19"/>
      <rgbColor rgb="FF6B2B2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00"/>
  </cols>
  <sheetData>
    <row r="1" customFormat="false" ht="27.75" hidden="false" customHeight="true" outlineLevel="0" collapsed="false">
      <c r="A1" s="2" t="s">
        <v>0</v>
      </c>
      <c r="B1" s="2"/>
    </row>
    <row r="3" customFormat="false" ht="15" hidden="false" customHeight="true" outlineLevel="0" collapsed="false">
      <c r="B3" s="3" t="s">
        <v>1</v>
      </c>
    </row>
    <row r="4" customFormat="false" ht="48" hidden="false" customHeight="true" outlineLevel="0" collapsed="false">
      <c r="B4" s="4" t="s">
        <v>2</v>
      </c>
    </row>
    <row r="6" customFormat="false" ht="15" hidden="false" customHeight="true" outlineLevel="0" collapsed="false">
      <c r="B6" s="3" t="s">
        <v>3</v>
      </c>
    </row>
    <row r="7" customFormat="false" ht="23.25" hidden="false" customHeight="true" outlineLevel="0" collapsed="false">
      <c r="B7" s="4" t="s">
        <v>4</v>
      </c>
    </row>
    <row r="8" customFormat="false" ht="23.25" hidden="false" customHeight="true" outlineLevel="0" collapsed="false">
      <c r="B8" s="4" t="s">
        <v>5</v>
      </c>
    </row>
    <row r="9" customFormat="false" ht="23.25" hidden="false" customHeight="true" outlineLevel="0" collapsed="false">
      <c r="B9" s="4" t="s">
        <v>6</v>
      </c>
    </row>
    <row r="10" customFormat="false" ht="23.25" hidden="false" customHeight="true" outlineLevel="0" collapsed="false">
      <c r="B10" s="4" t="s">
        <v>7</v>
      </c>
    </row>
    <row r="11" customFormat="false" ht="23.25" hidden="false" customHeight="true" outlineLevel="0" collapsed="false">
      <c r="B11" s="4" t="s">
        <v>8</v>
      </c>
    </row>
    <row r="13" customFormat="false" ht="15" hidden="false" customHeight="true" outlineLevel="0" collapsed="false">
      <c r="B13" s="3" t="s">
        <v>9</v>
      </c>
    </row>
    <row r="14" customFormat="false" ht="15" hidden="false" customHeight="true" outlineLevel="0" collapsed="false">
      <c r="A14" s="5"/>
      <c r="B14" s="6" t="s">
        <v>10</v>
      </c>
    </row>
    <row r="15" customFormat="false" ht="15" hidden="false" customHeight="true" outlineLevel="0" collapsed="false">
      <c r="A15" s="7"/>
      <c r="B15" s="6" t="s">
        <v>11</v>
      </c>
    </row>
    <row r="16" customFormat="false" ht="15" hidden="false" customHeight="true" outlineLevel="0" collapsed="false">
      <c r="A16" s="8"/>
      <c r="B16" s="6" t="s">
        <v>12</v>
      </c>
    </row>
    <row r="18" customFormat="false" ht="15" hidden="false" customHeight="true" outlineLevel="0" collapsed="false">
      <c r="B18" s="3" t="s">
        <v>13</v>
      </c>
    </row>
    <row r="19" customFormat="false" ht="15" hidden="false" customHeight="true" outlineLevel="0" collapsed="false">
      <c r="B19" s="4" t="s">
        <v>14</v>
      </c>
    </row>
    <row r="20" customFormat="false" ht="23.25" hidden="false" customHeight="true" outlineLevel="0" collapsed="false">
      <c r="B20" s="4" t="s">
        <v>15</v>
      </c>
    </row>
    <row r="21" customFormat="false" ht="15" hidden="false" customHeight="true" outlineLevel="0" collapsed="false">
      <c r="B21" s="4" t="s">
        <v>16</v>
      </c>
    </row>
    <row r="22" customFormat="false" ht="23.25" hidden="false" customHeight="true" outlineLevel="0" collapsed="false">
      <c r="B22" s="4" t="s">
        <v>17</v>
      </c>
    </row>
    <row r="23" customFormat="false" ht="15" hidden="false" customHeight="true" outlineLevel="0" collapsed="false">
      <c r="B23" s="4" t="s">
        <v>18</v>
      </c>
    </row>
    <row r="25" customFormat="false" ht="15" hidden="false" customHeight="true" outlineLevel="0" collapsed="false">
      <c r="B25" s="3" t="s">
        <v>19</v>
      </c>
    </row>
    <row r="26" customFormat="false" ht="34.5" hidden="false" customHeight="true" outlineLevel="0" collapsed="false">
      <c r="B26" s="4" t="s">
        <v>20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1"/>
    <col collapsed="false" customWidth="true" hidden="false" outlineLevel="0" max="5" min="3" style="1" width="14"/>
    <col collapsed="false" customWidth="true" hidden="false" outlineLevel="0" max="6" min="6" style="1" width="62"/>
  </cols>
  <sheetData>
    <row r="1" customFormat="false" ht="25.5" hidden="false" customHeight="true" outlineLevel="0" collapsed="false">
      <c r="A1" s="2" t="s">
        <v>21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9" t="s">
        <v>22</v>
      </c>
      <c r="B2" s="9"/>
      <c r="C2" s="9"/>
      <c r="D2" s="9"/>
      <c r="E2" s="9"/>
      <c r="F2" s="9"/>
    </row>
    <row r="3" customFormat="false" ht="16.5" hidden="false" customHeight="true" outlineLevel="0" collapsed="false">
      <c r="A3" s="10"/>
      <c r="B3" s="10"/>
      <c r="C3" s="11" t="s">
        <v>23</v>
      </c>
      <c r="D3" s="12" t="s">
        <v>24</v>
      </c>
      <c r="E3" s="10"/>
      <c r="F3" s="10"/>
    </row>
    <row r="4" customFormat="false" ht="16.5" hidden="false" customHeight="true" outlineLevel="0" collapsed="false">
      <c r="A4" s="10"/>
      <c r="B4" s="10"/>
      <c r="C4" s="10"/>
      <c r="D4" s="10"/>
      <c r="E4" s="10"/>
      <c r="F4" s="10"/>
    </row>
    <row r="5" customFormat="false" ht="16.5" hidden="false" customHeight="true" outlineLevel="0" collapsed="false">
      <c r="A5" s="13" t="s">
        <v>25</v>
      </c>
      <c r="B5" s="13"/>
      <c r="C5" s="13"/>
      <c r="D5" s="13"/>
      <c r="E5" s="13"/>
      <c r="F5" s="13"/>
    </row>
    <row r="6" customFormat="false" ht="16.5" hidden="false" customHeight="true" outlineLevel="0" collapsed="false">
      <c r="A6" s="14" t="s">
        <v>26</v>
      </c>
      <c r="B6" s="14" t="s">
        <v>27</v>
      </c>
      <c r="C6" s="14" t="s">
        <v>28</v>
      </c>
      <c r="D6" s="14"/>
      <c r="E6" s="14"/>
      <c r="F6" s="14" t="s">
        <v>29</v>
      </c>
    </row>
    <row r="7" customFormat="false" ht="16.5" hidden="false" customHeight="true" outlineLevel="0" collapsed="false">
      <c r="A7" s="15" t="s">
        <v>30</v>
      </c>
      <c r="B7" s="10"/>
      <c r="C7" s="10"/>
      <c r="D7" s="10"/>
      <c r="E7" s="10"/>
      <c r="F7" s="10"/>
    </row>
    <row r="8" customFormat="false" ht="16.5" hidden="false" customHeight="true" outlineLevel="0" collapsed="false">
      <c r="A8" s="16" t="s">
        <v>31</v>
      </c>
      <c r="B8" s="16" t="s">
        <v>32</v>
      </c>
      <c r="C8" s="17" t="n">
        <v>830000</v>
      </c>
      <c r="D8" s="10"/>
      <c r="E8" s="10"/>
      <c r="F8" s="18"/>
    </row>
    <row r="9" customFormat="false" ht="16.5" hidden="false" customHeight="true" outlineLevel="0" collapsed="false">
      <c r="A9" s="16" t="s">
        <v>33</v>
      </c>
      <c r="B9" s="16" t="s">
        <v>32</v>
      </c>
      <c r="C9" s="17" t="n">
        <v>53000</v>
      </c>
      <c r="D9" s="10"/>
      <c r="E9" s="10"/>
      <c r="F9" s="18"/>
    </row>
    <row r="10" customFormat="false" ht="16.5" hidden="false" customHeight="true" outlineLevel="0" collapsed="false">
      <c r="A10" s="15" t="s">
        <v>34</v>
      </c>
      <c r="B10" s="10"/>
      <c r="C10" s="10"/>
      <c r="D10" s="10"/>
      <c r="E10" s="10"/>
      <c r="F10" s="10"/>
    </row>
    <row r="11" customFormat="false" ht="16.5" hidden="false" customHeight="true" outlineLevel="0" collapsed="false">
      <c r="A11" s="16" t="s">
        <v>35</v>
      </c>
      <c r="B11" s="16" t="s">
        <v>36</v>
      </c>
      <c r="C11" s="19" t="n">
        <v>0.135</v>
      </c>
      <c r="D11" s="10"/>
      <c r="E11" s="10"/>
      <c r="F11" s="18"/>
    </row>
    <row r="12" customFormat="false" ht="16.5" hidden="false" customHeight="true" outlineLevel="0" collapsed="false">
      <c r="A12" s="16" t="s">
        <v>37</v>
      </c>
      <c r="B12" s="16" t="s">
        <v>36</v>
      </c>
      <c r="C12" s="20" t="n">
        <v>1.55</v>
      </c>
      <c r="D12" s="10"/>
      <c r="E12" s="10"/>
      <c r="F12" s="18"/>
    </row>
    <row r="13" customFormat="false" ht="16.5" hidden="false" customHeight="true" outlineLevel="0" collapsed="false">
      <c r="A13" s="16" t="s">
        <v>38</v>
      </c>
      <c r="B13" s="16" t="s">
        <v>36</v>
      </c>
      <c r="C13" s="20" t="n">
        <v>0.1</v>
      </c>
      <c r="D13" s="10"/>
      <c r="E13" s="10"/>
      <c r="F13" s="18"/>
    </row>
    <row r="14" customFormat="false" ht="25.5" hidden="false" customHeight="true" outlineLevel="0" collapsed="false">
      <c r="A14" s="21" t="s">
        <v>39</v>
      </c>
      <c r="B14" s="16" t="s">
        <v>40</v>
      </c>
      <c r="C14" s="22" t="n">
        <v>0.05</v>
      </c>
      <c r="D14" s="10"/>
      <c r="E14" s="10"/>
      <c r="F14" s="18"/>
    </row>
    <row r="15" customFormat="false" ht="16.5" hidden="false" customHeight="true" outlineLevel="0" collapsed="false">
      <c r="A15" s="15" t="s">
        <v>41</v>
      </c>
      <c r="B15" s="10"/>
      <c r="C15" s="10"/>
      <c r="D15" s="10"/>
      <c r="E15" s="10"/>
      <c r="F15" s="10"/>
    </row>
    <row r="16" customFormat="false" ht="16.5" hidden="false" customHeight="true" outlineLevel="0" collapsed="false">
      <c r="A16" s="16" t="s">
        <v>42</v>
      </c>
      <c r="B16" s="16" t="s">
        <v>36</v>
      </c>
      <c r="C16" s="20" t="n">
        <v>2.55</v>
      </c>
      <c r="D16" s="10"/>
      <c r="E16" s="10"/>
      <c r="F16" s="18"/>
    </row>
    <row r="17" customFormat="false" ht="16.5" hidden="false" customHeight="true" outlineLevel="0" collapsed="false">
      <c r="A17" s="16" t="s">
        <v>43</v>
      </c>
      <c r="B17" s="16" t="s">
        <v>36</v>
      </c>
      <c r="C17" s="20" t="n">
        <v>2.55</v>
      </c>
      <c r="D17" s="10"/>
      <c r="E17" s="10"/>
      <c r="F17" s="18"/>
    </row>
    <row r="18" customFormat="false" ht="16.5" hidden="false" customHeight="true" outlineLevel="0" collapsed="false">
      <c r="A18" s="15" t="s">
        <v>44</v>
      </c>
      <c r="B18" s="10"/>
      <c r="C18" s="10"/>
      <c r="D18" s="10"/>
      <c r="E18" s="10"/>
      <c r="F18" s="10"/>
    </row>
    <row r="19" customFormat="false" ht="25.5" hidden="false" customHeight="true" outlineLevel="0" collapsed="false">
      <c r="A19" s="21" t="s">
        <v>45</v>
      </c>
      <c r="B19" s="16" t="s">
        <v>40</v>
      </c>
      <c r="C19" s="22" t="n">
        <v>0.5</v>
      </c>
      <c r="D19" s="10"/>
      <c r="E19" s="10"/>
      <c r="F19" s="18"/>
    </row>
    <row r="20" customFormat="false" ht="16.5" hidden="false" customHeight="true" outlineLevel="0" collapsed="false">
      <c r="A20" s="16" t="s">
        <v>46</v>
      </c>
      <c r="B20" s="16" t="s">
        <v>36</v>
      </c>
      <c r="C20" s="17" t="n">
        <v>120</v>
      </c>
      <c r="D20" s="10"/>
      <c r="E20" s="10"/>
      <c r="F20" s="18"/>
    </row>
    <row r="21" customFormat="false" ht="16.5" hidden="false" customHeight="true" outlineLevel="0" collapsed="false">
      <c r="A21" s="16" t="s">
        <v>47</v>
      </c>
      <c r="B21" s="16" t="s">
        <v>36</v>
      </c>
      <c r="C21" s="17" t="n">
        <v>10</v>
      </c>
      <c r="D21" s="10"/>
      <c r="E21" s="10"/>
      <c r="F21" s="18"/>
    </row>
    <row r="22" customFormat="false" ht="16.5" hidden="false" customHeight="true" outlineLevel="0" collapsed="false">
      <c r="A22" s="16" t="s">
        <v>48</v>
      </c>
      <c r="B22" s="16" t="s">
        <v>40</v>
      </c>
      <c r="C22" s="23" t="n">
        <v>0.045</v>
      </c>
      <c r="D22" s="10"/>
      <c r="E22" s="10"/>
      <c r="F22" s="18" t="s">
        <v>49</v>
      </c>
    </row>
    <row r="23" customFormat="false" ht="25.5" hidden="false" customHeight="true" outlineLevel="0" collapsed="false">
      <c r="A23" s="21" t="s">
        <v>50</v>
      </c>
      <c r="B23" s="16" t="s">
        <v>40</v>
      </c>
      <c r="C23" s="22" t="n">
        <v>0.375</v>
      </c>
      <c r="D23" s="10"/>
      <c r="E23" s="10"/>
      <c r="F23" s="18" t="s">
        <v>51</v>
      </c>
    </row>
    <row r="24" customFormat="false" ht="16.5" hidden="false" customHeight="true" outlineLevel="0" collapsed="false">
      <c r="A24" s="15" t="s">
        <v>52</v>
      </c>
      <c r="B24" s="10"/>
      <c r="C24" s="10"/>
      <c r="D24" s="10"/>
      <c r="E24" s="10"/>
      <c r="F24" s="10"/>
    </row>
    <row r="25" customFormat="false" ht="16.5" hidden="false" customHeight="true" outlineLevel="0" collapsed="false">
      <c r="A25" s="16" t="s">
        <v>53</v>
      </c>
      <c r="B25" s="16" t="s">
        <v>54</v>
      </c>
      <c r="C25" s="17" t="n">
        <v>700</v>
      </c>
      <c r="D25" s="10"/>
      <c r="E25" s="10"/>
      <c r="F25" s="18"/>
    </row>
    <row r="26" customFormat="false" ht="16.5" hidden="false" customHeight="true" outlineLevel="0" collapsed="false">
      <c r="A26" s="16" t="s">
        <v>55</v>
      </c>
      <c r="B26" s="16" t="s">
        <v>54</v>
      </c>
      <c r="C26" s="17" t="n">
        <v>450</v>
      </c>
      <c r="D26" s="10"/>
      <c r="E26" s="10"/>
      <c r="F26" s="18"/>
    </row>
    <row r="27" customFormat="false" ht="16.5" hidden="false" customHeight="true" outlineLevel="0" collapsed="false">
      <c r="A27" s="16" t="s">
        <v>56</v>
      </c>
      <c r="B27" s="16" t="s">
        <v>54</v>
      </c>
      <c r="C27" s="17" t="n">
        <v>500</v>
      </c>
      <c r="D27" s="10"/>
      <c r="E27" s="10"/>
      <c r="F27" s="18"/>
    </row>
    <row r="28" customFormat="false" ht="16.5" hidden="false" customHeight="true" outlineLevel="0" collapsed="false">
      <c r="A28" s="16" t="s">
        <v>57</v>
      </c>
      <c r="B28" s="16" t="s">
        <v>54</v>
      </c>
      <c r="C28" s="17" t="n">
        <v>300</v>
      </c>
      <c r="D28" s="10"/>
      <c r="E28" s="10"/>
      <c r="F28" s="18"/>
    </row>
    <row r="29" customFormat="false" ht="16.5" hidden="false" customHeight="true" outlineLevel="0" collapsed="false">
      <c r="A29" s="15" t="s">
        <v>58</v>
      </c>
      <c r="B29" s="10"/>
      <c r="C29" s="10"/>
      <c r="D29" s="10"/>
      <c r="E29" s="10"/>
      <c r="F29" s="10"/>
    </row>
    <row r="30" customFormat="false" ht="16.5" hidden="false" customHeight="true" outlineLevel="0" collapsed="false">
      <c r="A30" s="16" t="s">
        <v>59</v>
      </c>
      <c r="B30" s="16" t="s">
        <v>40</v>
      </c>
      <c r="C30" s="22" t="n">
        <v>0.322</v>
      </c>
      <c r="D30" s="10"/>
      <c r="E30" s="10"/>
      <c r="F30" s="18"/>
    </row>
    <row r="31" customFormat="false" ht="16.5" hidden="false" customHeight="true" outlineLevel="0" collapsed="false">
      <c r="A31" s="16" t="s">
        <v>60</v>
      </c>
      <c r="B31" s="16" t="s">
        <v>40</v>
      </c>
      <c r="C31" s="22" t="n">
        <v>0.15</v>
      </c>
      <c r="D31" s="10"/>
      <c r="E31" s="10"/>
      <c r="F31" s="18"/>
    </row>
    <row r="32" customFormat="false" ht="16.5" hidden="false" customHeight="true" outlineLevel="0" collapsed="false">
      <c r="A32" s="16" t="s">
        <v>61</v>
      </c>
      <c r="B32" s="16" t="s">
        <v>62</v>
      </c>
      <c r="C32" s="24" t="n">
        <v>1.2</v>
      </c>
      <c r="D32" s="10"/>
      <c r="E32" s="10"/>
      <c r="F32" s="18"/>
    </row>
    <row r="33" customFormat="false" ht="16.5" hidden="false" customHeight="true" outlineLevel="0" collapsed="false">
      <c r="A33" s="16" t="s">
        <v>63</v>
      </c>
      <c r="B33" s="16" t="s">
        <v>64</v>
      </c>
      <c r="C33" s="24" t="n">
        <v>1.5</v>
      </c>
      <c r="D33" s="10"/>
      <c r="E33" s="10"/>
      <c r="F33" s="18"/>
    </row>
    <row r="34" customFormat="false" ht="16.5" hidden="false" customHeight="true" outlineLevel="0" collapsed="false">
      <c r="A34" s="16" t="s">
        <v>65</v>
      </c>
      <c r="B34" s="16" t="s">
        <v>36</v>
      </c>
      <c r="C34" s="17" t="n">
        <v>80</v>
      </c>
      <c r="D34" s="10"/>
      <c r="E34" s="10"/>
      <c r="F34" s="18"/>
    </row>
    <row r="35" customFormat="false" ht="16.5" hidden="false" customHeight="true" outlineLevel="0" collapsed="false">
      <c r="A35" s="16" t="s">
        <v>66</v>
      </c>
      <c r="B35" s="16" t="s">
        <v>36</v>
      </c>
      <c r="C35" s="17" t="n">
        <v>90</v>
      </c>
      <c r="D35" s="10"/>
      <c r="E35" s="10"/>
      <c r="F35" s="18"/>
    </row>
    <row r="36" customFormat="false" ht="16.5" hidden="false" customHeight="true" outlineLevel="0" collapsed="false">
      <c r="A36" s="16" t="s">
        <v>67</v>
      </c>
      <c r="B36" s="16" t="s">
        <v>68</v>
      </c>
      <c r="C36" s="17" t="n">
        <v>60</v>
      </c>
      <c r="D36" s="10"/>
      <c r="E36" s="10"/>
      <c r="F36" s="18"/>
    </row>
    <row r="37" customFormat="false" ht="16.5" hidden="false" customHeight="true" outlineLevel="0" collapsed="false">
      <c r="A37" s="16" t="s">
        <v>69</v>
      </c>
      <c r="B37" s="16" t="s">
        <v>70</v>
      </c>
      <c r="C37" s="17" t="n">
        <v>115</v>
      </c>
      <c r="D37" s="10"/>
      <c r="E37" s="10"/>
      <c r="F37" s="18"/>
    </row>
    <row r="38" customFormat="false" ht="16.5" hidden="false" customHeight="true" outlineLevel="0" collapsed="false">
      <c r="A38" s="16" t="s">
        <v>71</v>
      </c>
      <c r="B38" s="16" t="s">
        <v>72</v>
      </c>
      <c r="C38" s="19" t="n">
        <v>0.609</v>
      </c>
      <c r="D38" s="10"/>
      <c r="E38" s="10"/>
      <c r="F38" s="18"/>
    </row>
    <row r="39" customFormat="false" ht="16.5" hidden="false" customHeight="true" outlineLevel="0" collapsed="false">
      <c r="A39" s="16" t="s">
        <v>73</v>
      </c>
      <c r="B39" s="16" t="s">
        <v>72</v>
      </c>
      <c r="C39" s="19" t="n">
        <v>1.307</v>
      </c>
      <c r="D39" s="10"/>
      <c r="E39" s="10"/>
      <c r="F39" s="18"/>
    </row>
    <row r="40" customFormat="false" ht="16.5" hidden="false" customHeight="true" outlineLevel="0" collapsed="false">
      <c r="A40" s="10"/>
      <c r="B40" s="10"/>
      <c r="C40" s="10"/>
      <c r="D40" s="10"/>
      <c r="E40" s="10"/>
      <c r="F40" s="10"/>
    </row>
    <row r="41" customFormat="false" ht="16.5" hidden="false" customHeight="true" outlineLevel="0" collapsed="false">
      <c r="A41" s="13" t="s">
        <v>74</v>
      </c>
      <c r="B41" s="13"/>
      <c r="C41" s="13"/>
      <c r="D41" s="13"/>
      <c r="E41" s="13"/>
      <c r="F41" s="13"/>
    </row>
    <row r="42" customFormat="false" ht="16.5" hidden="false" customHeight="true" outlineLevel="0" collapsed="false">
      <c r="A42" s="14" t="s">
        <v>26</v>
      </c>
      <c r="B42" s="14" t="s">
        <v>27</v>
      </c>
      <c r="C42" s="14" t="s">
        <v>75</v>
      </c>
      <c r="D42" s="14" t="s">
        <v>76</v>
      </c>
      <c r="E42" s="14" t="s">
        <v>77</v>
      </c>
      <c r="F42" s="14" t="s">
        <v>29</v>
      </c>
    </row>
    <row r="43" customFormat="false" ht="16.5" hidden="false" customHeight="true" outlineLevel="0" collapsed="false">
      <c r="A43" s="16" t="s">
        <v>78</v>
      </c>
      <c r="B43" s="16" t="s">
        <v>40</v>
      </c>
      <c r="C43" s="22" t="n">
        <v>0.833</v>
      </c>
      <c r="D43" s="22" t="n">
        <v>0.202</v>
      </c>
      <c r="E43" s="22" t="n">
        <v>0.202</v>
      </c>
      <c r="F43" s="18" t="s">
        <v>79</v>
      </c>
    </row>
    <row r="44" customFormat="false" ht="25.5" hidden="false" customHeight="true" outlineLevel="0" collapsed="false">
      <c r="A44" s="25" t="s">
        <v>80</v>
      </c>
      <c r="B44" s="26" t="s">
        <v>81</v>
      </c>
      <c r="C44" s="27" t="n">
        <f aca="false">$C$8*C43*($C$11+$C$12+$C$13)+$C$8*$C$14*($C$16+$C$17)</f>
        <v>1445781.15</v>
      </c>
      <c r="D44" s="27" t="n">
        <f aca="false">$C$8*D43*($C$11+$C$12+$C$13)+$C$8*$C$14*($C$16+$C$17)</f>
        <v>510923.1</v>
      </c>
      <c r="E44" s="27" t="n">
        <f aca="false">$C$8*E43*($C$11+$C$12+$C$13)+$C$8*$C$14*($C$16+$C$17)</f>
        <v>510923.1</v>
      </c>
      <c r="F44" s="18" t="s">
        <v>82</v>
      </c>
    </row>
    <row r="45" customFormat="false" ht="16.5" hidden="false" customHeight="true" outlineLevel="0" collapsed="false">
      <c r="A45" s="25" t="s">
        <v>83</v>
      </c>
      <c r="B45" s="26" t="s">
        <v>81</v>
      </c>
      <c r="C45" s="27" t="n">
        <f aca="false">$C$9*C43*($C$11+$C$12+$C$13)+$C$9*$C$14*($C$16+$C$17)</f>
        <v>92320.965</v>
      </c>
      <c r="D45" s="27" t="n">
        <f aca="false">$C$9*D43*($C$11+$C$12+$C$13)+$C$9*$C$14*($C$16+$C$17)</f>
        <v>32625.21</v>
      </c>
      <c r="E45" s="27" t="n">
        <f aca="false">$C$9*E43*($C$11+$C$12+$C$13)+$C$9*$C$14*($C$16+$C$17)</f>
        <v>32625.21</v>
      </c>
      <c r="F45" s="18" t="s">
        <v>84</v>
      </c>
    </row>
    <row r="46" customFormat="false" ht="16.5" hidden="false" customHeight="true" outlineLevel="0" collapsed="false">
      <c r="A46" s="25" t="s">
        <v>85</v>
      </c>
      <c r="B46" s="26" t="s">
        <v>81</v>
      </c>
      <c r="C46" s="28" t="n">
        <f aca="false">C44+C45</f>
        <v>1538102.115</v>
      </c>
      <c r="D46" s="28" t="n">
        <f aca="false">D44+D45</f>
        <v>543548.31</v>
      </c>
      <c r="E46" s="28" t="n">
        <f aca="false">E44+E45</f>
        <v>543548.31</v>
      </c>
      <c r="F46" s="18" t="s">
        <v>86</v>
      </c>
    </row>
    <row r="47" customFormat="false" ht="16.5" hidden="false" customHeight="true" outlineLevel="0" collapsed="false">
      <c r="A47" s="16" t="s">
        <v>87</v>
      </c>
      <c r="B47" s="16" t="s">
        <v>81</v>
      </c>
      <c r="C47" s="17" t="n">
        <v>30000</v>
      </c>
      <c r="D47" s="17" t="n">
        <v>30000</v>
      </c>
      <c r="E47" s="17" t="n">
        <v>15000</v>
      </c>
      <c r="F47" s="18"/>
    </row>
    <row r="48" customFormat="false" ht="16.5" hidden="false" customHeight="true" outlineLevel="0" collapsed="false">
      <c r="A48" s="16" t="s">
        <v>88</v>
      </c>
      <c r="B48" s="16" t="s">
        <v>81</v>
      </c>
      <c r="C48" s="17" t="n">
        <v>40000</v>
      </c>
      <c r="D48" s="17" t="n">
        <v>40000</v>
      </c>
      <c r="E48" s="17" t="n">
        <v>20000</v>
      </c>
      <c r="F48" s="18"/>
    </row>
    <row r="49" customFormat="false" ht="16.5" hidden="false" customHeight="true" outlineLevel="0" collapsed="false">
      <c r="A49" s="16" t="s">
        <v>89</v>
      </c>
      <c r="B49" s="16" t="s">
        <v>81</v>
      </c>
      <c r="C49" s="17" t="n">
        <v>24000</v>
      </c>
      <c r="D49" s="17" t="n">
        <v>24000</v>
      </c>
      <c r="E49" s="17" t="n">
        <v>6000</v>
      </c>
      <c r="F49" s="18"/>
    </row>
    <row r="50" customFormat="false" ht="16.5" hidden="false" customHeight="true" outlineLevel="0" collapsed="false">
      <c r="A50" s="16" t="s">
        <v>90</v>
      </c>
      <c r="B50" s="16" t="s">
        <v>81</v>
      </c>
      <c r="C50" s="17" t="n">
        <v>10000</v>
      </c>
      <c r="D50" s="17" t="n">
        <v>5000</v>
      </c>
      <c r="E50" s="17" t="n">
        <v>5000</v>
      </c>
      <c r="F50" s="18"/>
    </row>
    <row r="51" customFormat="false" ht="16.5" hidden="false" customHeight="true" outlineLevel="0" collapsed="false">
      <c r="A51" s="16" t="s">
        <v>91</v>
      </c>
      <c r="B51" s="16" t="s">
        <v>81</v>
      </c>
      <c r="C51" s="17" t="n">
        <v>193500</v>
      </c>
      <c r="D51" s="17" t="n">
        <v>13500</v>
      </c>
      <c r="E51" s="17" t="n">
        <v>13500</v>
      </c>
      <c r="F51" s="18"/>
    </row>
    <row r="52" customFormat="false" ht="16.5" hidden="false" customHeight="true" outlineLevel="0" collapsed="false">
      <c r="A52" s="25" t="s">
        <v>92</v>
      </c>
      <c r="B52" s="26" t="s">
        <v>81</v>
      </c>
      <c r="C52" s="27" t="n">
        <f aca="false">SUM(C47:C51)</f>
        <v>297500</v>
      </c>
      <c r="D52" s="27" t="n">
        <f aca="false">SUM(D47:D51)</f>
        <v>112500</v>
      </c>
      <c r="E52" s="27" t="n">
        <f aca="false">SUM(E47:E51)</f>
        <v>59500</v>
      </c>
      <c r="F52" s="18" t="s">
        <v>93</v>
      </c>
    </row>
    <row r="53" customFormat="false" ht="16.5" hidden="false" customHeight="true" outlineLevel="0" collapsed="false">
      <c r="A53" s="25" t="s">
        <v>94</v>
      </c>
      <c r="B53" s="26" t="s">
        <v>81</v>
      </c>
      <c r="C53" s="28" t="n">
        <f aca="false">C46+C52</f>
        <v>1835602.115</v>
      </c>
      <c r="D53" s="28" t="n">
        <f aca="false">D46+D52</f>
        <v>656048.31</v>
      </c>
      <c r="E53" s="28" t="n">
        <f aca="false">E46+E52</f>
        <v>603048.31</v>
      </c>
      <c r="F53" s="18" t="s">
        <v>95</v>
      </c>
    </row>
    <row r="54" customFormat="false" ht="16.5" hidden="false" customHeight="true" outlineLevel="0" collapsed="false">
      <c r="A54" s="16" t="s">
        <v>96</v>
      </c>
      <c r="B54" s="16" t="s">
        <v>81</v>
      </c>
      <c r="C54" s="17" t="n">
        <f aca="false">'Strategy A - Vaccination'!C9</f>
        <v>1835602</v>
      </c>
      <c r="D54" s="17" t="n">
        <f aca="false">'Strategy A - Vaccination'!D9</f>
        <v>656048</v>
      </c>
      <c r="E54" s="17" t="n">
        <f aca="false">'Strategy A - Vaccination'!E9</f>
        <v>603048</v>
      </c>
      <c r="F54" s="18" t="s">
        <v>97</v>
      </c>
    </row>
    <row r="55" customFormat="false" ht="16.5" hidden="false" customHeight="true" outlineLevel="0" collapsed="false">
      <c r="A55" s="25" t="s">
        <v>98</v>
      </c>
      <c r="B55" s="26" t="s">
        <v>81</v>
      </c>
      <c r="C55" s="27" t="n">
        <f aca="false">C53-C54</f>
        <v>0.115000000223517</v>
      </c>
      <c r="D55" s="27" t="n">
        <f aca="false">D53-D54</f>
        <v>0.309999999939464</v>
      </c>
      <c r="E55" s="27" t="n">
        <f aca="false">E53-E54</f>
        <v>0.309999999939464</v>
      </c>
      <c r="F55" s="18" t="s">
        <v>99</v>
      </c>
    </row>
    <row r="56" customFormat="false" ht="16.5" hidden="false" customHeight="true" outlineLevel="0" collapsed="false">
      <c r="A56" s="10"/>
      <c r="B56" s="10"/>
      <c r="C56" s="10"/>
      <c r="D56" s="10"/>
      <c r="E56" s="10"/>
      <c r="F56" s="10"/>
    </row>
    <row r="57" customFormat="false" ht="16.5" hidden="false" customHeight="true" outlineLevel="0" collapsed="false">
      <c r="A57" s="13" t="s">
        <v>100</v>
      </c>
      <c r="B57" s="13"/>
      <c r="C57" s="13"/>
      <c r="D57" s="13"/>
      <c r="E57" s="13"/>
      <c r="F57" s="13"/>
    </row>
    <row r="58" customFormat="false" ht="16.5" hidden="false" customHeight="true" outlineLevel="0" collapsed="false">
      <c r="A58" s="14" t="s">
        <v>26</v>
      </c>
      <c r="B58" s="14" t="s">
        <v>27</v>
      </c>
      <c r="C58" s="14" t="s">
        <v>75</v>
      </c>
      <c r="D58" s="14" t="s">
        <v>76</v>
      </c>
      <c r="E58" s="14" t="s">
        <v>77</v>
      </c>
      <c r="F58" s="14" t="s">
        <v>29</v>
      </c>
    </row>
    <row r="59" customFormat="false" ht="25.5" hidden="false" customHeight="true" outlineLevel="0" collapsed="false">
      <c r="A59" s="25" t="s">
        <v>101</v>
      </c>
      <c r="B59" s="26" t="s">
        <v>40</v>
      </c>
      <c r="C59" s="29" t="n">
        <f aca="false">$C$22</f>
        <v>0.045</v>
      </c>
      <c r="D59" s="29" t="n">
        <f aca="false">C59*(1-$C$23)</f>
        <v>0.028125</v>
      </c>
      <c r="E59" s="29" t="n">
        <f aca="false">D59*(1-$C$23)</f>
        <v>0.017578125</v>
      </c>
      <c r="F59" s="18" t="s">
        <v>102</v>
      </c>
    </row>
    <row r="60" customFormat="false" ht="25.5" hidden="false" customHeight="true" outlineLevel="0" collapsed="false">
      <c r="A60" s="25" t="s">
        <v>103</v>
      </c>
      <c r="B60" s="26" t="s">
        <v>81</v>
      </c>
      <c r="C60" s="27" t="n">
        <f aca="false">$C$8*$C$19*($C$16+$C$17)+$C$8*$C$19*C59*($C$20+$C$21)</f>
        <v>4544250</v>
      </c>
      <c r="D60" s="27" t="n">
        <f aca="false">$C$8*$C$19*($C$16+$C$17)+$C$8*$C$19*D59*($C$20+$C$21)</f>
        <v>3633843.75</v>
      </c>
      <c r="E60" s="27" t="n">
        <f aca="false">$C$8*$C$19*($C$16+$C$17)+$C$8*$C$19*E59*($C$20+$C$21)</f>
        <v>3064839.84375</v>
      </c>
      <c r="F60" s="18" t="s">
        <v>104</v>
      </c>
    </row>
    <row r="61" customFormat="false" ht="16.5" hidden="false" customHeight="true" outlineLevel="0" collapsed="false">
      <c r="A61" s="25" t="s">
        <v>105</v>
      </c>
      <c r="B61" s="26" t="s">
        <v>81</v>
      </c>
      <c r="C61" s="27" t="n">
        <f aca="false">$C$9*$C$19*($C$16+$C$17)+$C$9*$C$19*C59*($C$20+$C$21)</f>
        <v>290175</v>
      </c>
      <c r="D61" s="27" t="n">
        <f aca="false">$C$9*$C$19*($C$16+$C$17)+$C$9*$C$19*D59*($C$20+$C$21)</f>
        <v>232040.625</v>
      </c>
      <c r="E61" s="27" t="n">
        <f aca="false">$C$9*$C$19*($C$16+$C$17)+$C$9*$C$19*E59*($C$20+$C$21)</f>
        <v>195706.640625</v>
      </c>
      <c r="F61" s="18" t="s">
        <v>84</v>
      </c>
    </row>
    <row r="62" customFormat="false" ht="16.5" hidden="false" customHeight="true" outlineLevel="0" collapsed="false">
      <c r="A62" s="25" t="s">
        <v>94</v>
      </c>
      <c r="B62" s="26" t="s">
        <v>81</v>
      </c>
      <c r="C62" s="28" t="n">
        <f aca="false">C60+C61</f>
        <v>4834425</v>
      </c>
      <c r="D62" s="28" t="n">
        <f aca="false">D60+D61</f>
        <v>3865884.375</v>
      </c>
      <c r="E62" s="28" t="n">
        <f aca="false">E60+E61</f>
        <v>3260546.484375</v>
      </c>
      <c r="F62" s="18" t="s">
        <v>86</v>
      </c>
    </row>
    <row r="63" customFormat="false" ht="16.5" hidden="false" customHeight="true" outlineLevel="0" collapsed="false">
      <c r="A63" s="16" t="s">
        <v>106</v>
      </c>
      <c r="B63" s="16" t="s">
        <v>81</v>
      </c>
      <c r="C63" s="17" t="n">
        <f aca="false">'Strategy B - Test-and-Slaughter'!C9</f>
        <v>4834425</v>
      </c>
      <c r="D63" s="17" t="n">
        <f aca="false">'Strategy B - Test-and-Slaughter'!D9</f>
        <v>3865884</v>
      </c>
      <c r="E63" s="17" t="n">
        <f aca="false">'Strategy B - Test-and-Slaughter'!E9</f>
        <v>3260546</v>
      </c>
      <c r="F63" s="18" t="s">
        <v>107</v>
      </c>
    </row>
    <row r="64" customFormat="false" ht="16.5" hidden="false" customHeight="true" outlineLevel="0" collapsed="false">
      <c r="A64" s="25" t="s">
        <v>98</v>
      </c>
      <c r="B64" s="26" t="s">
        <v>81</v>
      </c>
      <c r="C64" s="27" t="n">
        <f aca="false">C62-C63</f>
        <v>0</v>
      </c>
      <c r="D64" s="27" t="n">
        <f aca="false">D62-D63</f>
        <v>0.375</v>
      </c>
      <c r="E64" s="27" t="n">
        <f aca="false">E62-E63</f>
        <v>0.484375</v>
      </c>
      <c r="F64" s="18" t="s">
        <v>99</v>
      </c>
    </row>
    <row r="65" customFormat="false" ht="16.5" hidden="false" customHeight="true" outlineLevel="0" collapsed="false">
      <c r="A65" s="10"/>
      <c r="B65" s="10"/>
      <c r="C65" s="10"/>
      <c r="D65" s="10"/>
      <c r="E65" s="10"/>
      <c r="F65" s="10"/>
    </row>
    <row r="66" customFormat="false" ht="16.5" hidden="false" customHeight="true" outlineLevel="0" collapsed="false">
      <c r="A66" s="13" t="s">
        <v>108</v>
      </c>
      <c r="B66" s="13"/>
      <c r="C66" s="13"/>
      <c r="D66" s="13"/>
      <c r="E66" s="13"/>
      <c r="F66" s="13"/>
    </row>
    <row r="67" customFormat="false" ht="16.5" hidden="false" customHeight="true" outlineLevel="0" collapsed="false">
      <c r="A67" s="14" t="s">
        <v>26</v>
      </c>
      <c r="B67" s="14" t="s">
        <v>27</v>
      </c>
      <c r="C67" s="14" t="s">
        <v>75</v>
      </c>
      <c r="D67" s="14" t="s">
        <v>76</v>
      </c>
      <c r="E67" s="14" t="s">
        <v>77</v>
      </c>
      <c r="F67" s="14" t="s">
        <v>29</v>
      </c>
    </row>
    <row r="68" customFormat="false" ht="16.5" hidden="false" customHeight="true" outlineLevel="0" collapsed="false">
      <c r="A68" s="16" t="s">
        <v>109</v>
      </c>
      <c r="B68" s="16" t="s">
        <v>110</v>
      </c>
      <c r="C68" s="17" t="n">
        <v>0</v>
      </c>
      <c r="D68" s="17" t="n">
        <v>403</v>
      </c>
      <c r="E68" s="17" t="n">
        <v>743</v>
      </c>
      <c r="F68" s="18" t="s">
        <v>111</v>
      </c>
    </row>
    <row r="69" customFormat="false" ht="16.5" hidden="false" customHeight="true" outlineLevel="0" collapsed="false">
      <c r="A69" s="25" t="s">
        <v>112</v>
      </c>
      <c r="B69" s="26" t="s">
        <v>54</v>
      </c>
      <c r="C69" s="27" t="n">
        <f aca="false">$C$25+$C$26+$C$27+$C$28</f>
        <v>1950</v>
      </c>
      <c r="D69" s="27" t="n">
        <f aca="false">$C$25+$C$26+$C$27+$C$28</f>
        <v>1950</v>
      </c>
      <c r="E69" s="27" t="n">
        <f aca="false">$C$25+$C$26+$C$27+$C$28</f>
        <v>1950</v>
      </c>
      <c r="F69" s="18" t="s">
        <v>113</v>
      </c>
    </row>
    <row r="70" customFormat="false" ht="16.5" hidden="false" customHeight="true" outlineLevel="0" collapsed="false">
      <c r="A70" s="25" t="s">
        <v>114</v>
      </c>
      <c r="B70" s="26" t="s">
        <v>81</v>
      </c>
      <c r="C70" s="28" t="n">
        <f aca="false">C68*C69</f>
        <v>0</v>
      </c>
      <c r="D70" s="28" t="n">
        <f aca="false">D68*D69</f>
        <v>785850</v>
      </c>
      <c r="E70" s="28" t="n">
        <f aca="false">E68*E69</f>
        <v>1448850</v>
      </c>
      <c r="F70" s="18" t="s">
        <v>115</v>
      </c>
    </row>
    <row r="71" customFormat="false" ht="16.5" hidden="false" customHeight="true" outlineLevel="0" collapsed="false">
      <c r="A71" s="16" t="s">
        <v>116</v>
      </c>
      <c r="B71" s="16" t="s">
        <v>81</v>
      </c>
      <c r="C71" s="17" t="n">
        <v>0</v>
      </c>
      <c r="D71" s="17" t="n">
        <v>785012</v>
      </c>
      <c r="E71" s="17" t="n">
        <v>1448346</v>
      </c>
      <c r="F71" s="18" t="s">
        <v>117</v>
      </c>
    </row>
    <row r="72" customFormat="false" ht="25.5" hidden="false" customHeight="true" outlineLevel="0" collapsed="false">
      <c r="A72" s="25" t="s">
        <v>118</v>
      </c>
      <c r="B72" s="26" t="s">
        <v>81</v>
      </c>
      <c r="C72" s="27" t="n">
        <f aca="false">C70-C71</f>
        <v>0</v>
      </c>
      <c r="D72" s="27" t="n">
        <f aca="false">D70-D71</f>
        <v>838</v>
      </c>
      <c r="E72" s="27" t="n">
        <f aca="false">E70-E71</f>
        <v>504</v>
      </c>
      <c r="F72" s="18" t="s">
        <v>119</v>
      </c>
    </row>
    <row r="73" customFormat="false" ht="16.5" hidden="false" customHeight="true" outlineLevel="0" collapsed="false">
      <c r="A73" s="10"/>
      <c r="B73" s="10"/>
      <c r="C73" s="10"/>
      <c r="D73" s="10"/>
      <c r="E73" s="10"/>
      <c r="F73" s="10"/>
    </row>
    <row r="74" customFormat="false" ht="16.5" hidden="false" customHeight="true" outlineLevel="0" collapsed="false">
      <c r="A74" s="13" t="s">
        <v>120</v>
      </c>
      <c r="B74" s="13"/>
      <c r="C74" s="13"/>
      <c r="D74" s="13"/>
      <c r="E74" s="13"/>
      <c r="F74" s="13"/>
    </row>
    <row r="75" customFormat="false" ht="16.5" hidden="false" customHeight="true" outlineLevel="0" collapsed="false">
      <c r="A75" s="14" t="s">
        <v>26</v>
      </c>
      <c r="B75" s="14" t="s">
        <v>27</v>
      </c>
      <c r="C75" s="14" t="s">
        <v>75</v>
      </c>
      <c r="D75" s="14" t="s">
        <v>76</v>
      </c>
      <c r="E75" s="14" t="s">
        <v>77</v>
      </c>
      <c r="F75" s="14" t="s">
        <v>29</v>
      </c>
    </row>
    <row r="76" customFormat="false" ht="16.5" hidden="false" customHeight="true" outlineLevel="0" collapsed="false">
      <c r="A76" s="16" t="s">
        <v>121</v>
      </c>
      <c r="B76" s="16" t="s">
        <v>40</v>
      </c>
      <c r="C76" s="22" t="n">
        <v>0</v>
      </c>
      <c r="D76" s="22" t="n">
        <v>0.019</v>
      </c>
      <c r="E76" s="22" t="n">
        <v>0.04</v>
      </c>
      <c r="F76" s="18" t="s">
        <v>122</v>
      </c>
    </row>
    <row r="77" customFormat="false" ht="25.5" hidden="false" customHeight="true" outlineLevel="0" collapsed="false">
      <c r="A77" s="25" t="s">
        <v>123</v>
      </c>
      <c r="B77" s="26" t="s">
        <v>81</v>
      </c>
      <c r="C77" s="27" t="n">
        <f aca="false">C76*$C$8*$C$30*$C$32*$C$34</f>
        <v>0</v>
      </c>
      <c r="D77" s="27" t="n">
        <f aca="false">D76*$C$8*$C$30*$C$32*$C$34</f>
        <v>487482.24</v>
      </c>
      <c r="E77" s="27" t="n">
        <f aca="false">E76*$C$8*$C$30*$C$32*$C$34</f>
        <v>1026278.4</v>
      </c>
      <c r="F77" s="18" t="s">
        <v>124</v>
      </c>
    </row>
    <row r="78" customFormat="false" ht="25.5" hidden="false" customHeight="true" outlineLevel="0" collapsed="false">
      <c r="A78" s="25" t="s">
        <v>125</v>
      </c>
      <c r="B78" s="26" t="s">
        <v>81</v>
      </c>
      <c r="C78" s="27" t="n">
        <f aca="false">C76*$C$8*$C$31*$C$36*$C$38</f>
        <v>0</v>
      </c>
      <c r="D78" s="27" t="n">
        <f aca="false">D76*$C$8*$C$31*$C$36*$C$38</f>
        <v>86435.37</v>
      </c>
      <c r="E78" s="27" t="n">
        <f aca="false">E76*$C$8*$C$31*$C$36*$C$38</f>
        <v>181969.2</v>
      </c>
      <c r="F78" s="18" t="s">
        <v>126</v>
      </c>
    </row>
    <row r="79" customFormat="false" ht="25.5" hidden="false" customHeight="true" outlineLevel="0" collapsed="false">
      <c r="A79" s="25" t="s">
        <v>127</v>
      </c>
      <c r="B79" s="26" t="s">
        <v>81</v>
      </c>
      <c r="C79" s="27" t="n">
        <f aca="false">C76*$C$9*$C$30*$C$33*$C$35</f>
        <v>0</v>
      </c>
      <c r="D79" s="27" t="n">
        <f aca="false">D76*$C$9*$C$30*$C$33*$C$35</f>
        <v>43774.29</v>
      </c>
      <c r="E79" s="27" t="n">
        <f aca="false">E76*$C$9*$C$30*$C$33*$C$35</f>
        <v>92156.4</v>
      </c>
      <c r="F79" s="18" t="s">
        <v>128</v>
      </c>
    </row>
    <row r="80" customFormat="false" ht="25.5" hidden="false" customHeight="true" outlineLevel="0" collapsed="false">
      <c r="A80" s="25" t="s">
        <v>129</v>
      </c>
      <c r="B80" s="26" t="s">
        <v>81</v>
      </c>
      <c r="C80" s="27" t="n">
        <f aca="false">C76*$C$9*$C$31*$C$37*$C$39</f>
        <v>0</v>
      </c>
      <c r="D80" s="27" t="n">
        <f aca="false">D76*$C$9*$C$31*$C$37*$C$39</f>
        <v>22703.57025</v>
      </c>
      <c r="E80" s="27" t="n">
        <f aca="false">E76*$C$9*$C$31*$C$37*$C$39</f>
        <v>47796.99</v>
      </c>
      <c r="F80" s="18" t="s">
        <v>130</v>
      </c>
    </row>
    <row r="81" customFormat="false" ht="16.5" hidden="false" customHeight="true" outlineLevel="0" collapsed="false">
      <c r="A81" s="25" t="s">
        <v>131</v>
      </c>
      <c r="B81" s="26" t="s">
        <v>81</v>
      </c>
      <c r="C81" s="28" t="n">
        <f aca="false">SUM(C77:C80)</f>
        <v>0</v>
      </c>
      <c r="D81" s="28" t="n">
        <f aca="false">SUM(D77:D80)</f>
        <v>640395.47025</v>
      </c>
      <c r="E81" s="28" t="n">
        <f aca="false">SUM(E77:E80)</f>
        <v>1348200.99</v>
      </c>
      <c r="F81" s="18" t="s">
        <v>132</v>
      </c>
    </row>
    <row r="82" customFormat="false" ht="16.5" hidden="false" customHeight="true" outlineLevel="0" collapsed="false">
      <c r="A82" s="16" t="s">
        <v>133</v>
      </c>
      <c r="B82" s="16" t="s">
        <v>81</v>
      </c>
      <c r="C82" s="17" t="n">
        <v>0</v>
      </c>
      <c r="D82" s="17" t="n">
        <v>651741</v>
      </c>
      <c r="E82" s="17" t="n">
        <v>1357577</v>
      </c>
      <c r="F82" s="18" t="s">
        <v>117</v>
      </c>
    </row>
    <row r="83" customFormat="false" ht="16.5" hidden="false" customHeight="true" outlineLevel="0" collapsed="false">
      <c r="A83" s="25" t="s">
        <v>118</v>
      </c>
      <c r="B83" s="26" t="s">
        <v>81</v>
      </c>
      <c r="C83" s="27" t="n">
        <f aca="false">C81-C82</f>
        <v>0</v>
      </c>
      <c r="D83" s="27" t="n">
        <f aca="false">D81-D82</f>
        <v>-11345.52975</v>
      </c>
      <c r="E83" s="27" t="n">
        <f aca="false">E81-E82</f>
        <v>-9376.01000000001</v>
      </c>
      <c r="F83" s="18" t="s">
        <v>134</v>
      </c>
    </row>
    <row r="84" customFormat="false" ht="16.5" hidden="false" customHeight="true" outlineLevel="0" collapsed="false">
      <c r="A84" s="10"/>
      <c r="B84" s="10"/>
      <c r="C84" s="10"/>
      <c r="D84" s="10"/>
      <c r="E84" s="10"/>
      <c r="F84" s="10"/>
    </row>
  </sheetData>
  <mergeCells count="7">
    <mergeCell ref="A1:F1"/>
    <mergeCell ref="A2:F2"/>
    <mergeCell ref="A5:F5"/>
    <mergeCell ref="A41:F41"/>
    <mergeCell ref="A57:F57"/>
    <mergeCell ref="A66:F66"/>
    <mergeCell ref="A74:F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9"/>
    <col collapsed="false" customWidth="true" hidden="false" outlineLevel="0" max="11" min="3" style="1" width="12"/>
    <col collapsed="false" customWidth="true" hidden="false" outlineLevel="0" max="12" min="12" style="1" width="46"/>
  </cols>
  <sheetData>
    <row r="1" customFormat="false" ht="25.5" hidden="false" customHeight="true" outlineLevel="0" collapsed="false">
      <c r="A1" s="2" t="s">
        <v>135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customFormat="false" ht="15" hidden="false" customHeight="true" outlineLevel="0" collapsed="false">
      <c r="A3" s="30" t="s">
        <v>136</v>
      </c>
      <c r="B3" s="30"/>
      <c r="C3" s="31" t="n">
        <v>0.0774</v>
      </c>
    </row>
    <row r="5" customFormat="false" ht="15" hidden="false" customHeight="true" outlineLevel="0" collapsed="false">
      <c r="A5" s="5"/>
      <c r="B5" s="32" t="s">
        <v>23</v>
      </c>
      <c r="D5" s="7"/>
      <c r="E5" s="32" t="s">
        <v>137</v>
      </c>
      <c r="G5" s="8"/>
      <c r="H5" s="32" t="s">
        <v>138</v>
      </c>
    </row>
    <row r="7" customFormat="false" ht="15" hidden="false" customHeight="true" outlineLevel="0" collapsed="false">
      <c r="A7" s="14" t="s">
        <v>26</v>
      </c>
      <c r="B7" s="14" t="s">
        <v>27</v>
      </c>
      <c r="C7" s="33" t="s">
        <v>75</v>
      </c>
      <c r="D7" s="33" t="s">
        <v>76</v>
      </c>
      <c r="E7" s="33" t="s">
        <v>77</v>
      </c>
      <c r="F7" s="33" t="s">
        <v>139</v>
      </c>
      <c r="G7" s="33" t="s">
        <v>140</v>
      </c>
      <c r="H7" s="33" t="s">
        <v>141</v>
      </c>
      <c r="I7" s="33" t="s">
        <v>142</v>
      </c>
      <c r="J7" s="33" t="s">
        <v>143</v>
      </c>
      <c r="K7" s="33" t="s">
        <v>144</v>
      </c>
      <c r="L7" s="33" t="s">
        <v>145</v>
      </c>
    </row>
    <row r="8" customFormat="false" ht="15" hidden="false" customHeight="true" outlineLevel="0" collapsed="false">
      <c r="A8" s="34" t="s">
        <v>146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</row>
    <row r="9" customFormat="false" ht="15" hidden="false" customHeight="true" outlineLevel="0" collapsed="false">
      <c r="A9" s="35" t="s">
        <v>147</v>
      </c>
      <c r="B9" s="36" t="s">
        <v>148</v>
      </c>
      <c r="C9" s="17" t="n">
        <v>1835602</v>
      </c>
      <c r="D9" s="17" t="n">
        <v>656048</v>
      </c>
      <c r="E9" s="17" t="n">
        <v>603048</v>
      </c>
      <c r="F9" s="17" t="n">
        <v>603048</v>
      </c>
      <c r="G9" s="17" t="n">
        <v>603048</v>
      </c>
      <c r="H9" s="17" t="n">
        <v>603048</v>
      </c>
      <c r="I9" s="17" t="n">
        <v>603048</v>
      </c>
      <c r="J9" s="17" t="n">
        <v>603049</v>
      </c>
      <c r="K9" s="37" t="n">
        <f aca="false">SUM(C9:J9)</f>
        <v>6109939</v>
      </c>
    </row>
    <row r="10" customFormat="false" ht="15" hidden="false" customHeight="true" outlineLevel="0" collapsed="false">
      <c r="A10" s="35" t="s">
        <v>149</v>
      </c>
      <c r="B10" s="36" t="s">
        <v>148</v>
      </c>
      <c r="C10" s="17" t="n">
        <v>823348</v>
      </c>
      <c r="D10" s="17" t="n">
        <v>2260101</v>
      </c>
      <c r="E10" s="17" t="n">
        <v>3629271</v>
      </c>
      <c r="F10" s="17" t="n">
        <v>5008894</v>
      </c>
      <c r="G10" s="17" t="n">
        <v>6470455</v>
      </c>
      <c r="H10" s="17" t="n">
        <v>8084010</v>
      </c>
      <c r="I10" s="17" t="n">
        <v>9922737</v>
      </c>
      <c r="J10" s="17" t="n">
        <v>12067258</v>
      </c>
      <c r="K10" s="37" t="n">
        <f aca="false">SUM(C10:J10)</f>
        <v>48266074</v>
      </c>
    </row>
    <row r="12" customFormat="false" ht="15" hidden="false" customHeight="true" outlineLevel="0" collapsed="false">
      <c r="A12" s="34" t="s">
        <v>150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</row>
    <row r="13" customFormat="false" ht="15" hidden="false" customHeight="true" outlineLevel="0" collapsed="false">
      <c r="A13" s="38" t="s">
        <v>151</v>
      </c>
      <c r="B13" s="39" t="s">
        <v>148</v>
      </c>
      <c r="C13" s="27" t="n">
        <f aca="false">C10-C9</f>
        <v>-1012254</v>
      </c>
      <c r="D13" s="27" t="n">
        <f aca="false">D10-D9</f>
        <v>1604053</v>
      </c>
      <c r="E13" s="27" t="n">
        <f aca="false">E10-E9</f>
        <v>3026223</v>
      </c>
      <c r="F13" s="27" t="n">
        <f aca="false">F10-F9</f>
        <v>4405846</v>
      </c>
      <c r="G13" s="27" t="n">
        <f aca="false">G10-G9</f>
        <v>5867407</v>
      </c>
      <c r="H13" s="27" t="n">
        <f aca="false">H10-H9</f>
        <v>7480962</v>
      </c>
      <c r="I13" s="27" t="n">
        <f aca="false">I10-I9</f>
        <v>9319689</v>
      </c>
      <c r="J13" s="27" t="n">
        <f aca="false">J10-J9</f>
        <v>11464209</v>
      </c>
      <c r="K13" s="40" t="n">
        <f aca="false">SUM(C13:J13)</f>
        <v>42156135</v>
      </c>
      <c r="L13" s="18" t="s">
        <v>152</v>
      </c>
    </row>
    <row r="14" customFormat="false" ht="21.75" hidden="false" customHeight="true" outlineLevel="0" collapsed="false">
      <c r="A14" s="38" t="s">
        <v>153</v>
      </c>
      <c r="B14" s="39" t="s">
        <v>154</v>
      </c>
      <c r="C14" s="41" t="n">
        <f aca="false">1/(1+$C$3)^0</f>
        <v>1</v>
      </c>
      <c r="D14" s="41" t="n">
        <f aca="false">1/(1+$C$3)^1</f>
        <v>0.928160386114721</v>
      </c>
      <c r="E14" s="41" t="n">
        <f aca="false">1/(1+$C$3)^2</f>
        <v>0.861481702352627</v>
      </c>
      <c r="F14" s="41" t="n">
        <f aca="false">1/(1+$C$3)^3</f>
        <v>0.799593189486382</v>
      </c>
      <c r="G14" s="41" t="n">
        <f aca="false">1/(1+$C$3)^4</f>
        <v>0.742150723488381</v>
      </c>
      <c r="H14" s="41" t="n">
        <f aca="false">1/(1+$C$3)^5</f>
        <v>0.688834902068295</v>
      </c>
      <c r="I14" s="41" t="n">
        <f aca="false">1/(1+$C$3)^6</f>
        <v>0.639349268673005</v>
      </c>
      <c r="J14" s="41" t="n">
        <f aca="false">1/(1+$C$3)^7</f>
        <v>0.5934186640737</v>
      </c>
      <c r="K14" s="42" t="s">
        <v>154</v>
      </c>
      <c r="L14" s="18" t="s">
        <v>155</v>
      </c>
    </row>
    <row r="15" customFormat="false" ht="15" hidden="false" customHeight="true" outlineLevel="0" collapsed="false">
      <c r="A15" s="38" t="s">
        <v>156</v>
      </c>
      <c r="B15" s="39" t="s">
        <v>148</v>
      </c>
      <c r="C15" s="27" t="n">
        <f aca="false">C9*C14</f>
        <v>1835602</v>
      </c>
      <c r="D15" s="27" t="n">
        <f aca="false">D9*D14</f>
        <v>608917.76498979</v>
      </c>
      <c r="E15" s="27" t="n">
        <f aca="false">E9*E14</f>
        <v>519514.817640347</v>
      </c>
      <c r="F15" s="27" t="n">
        <f aca="false">F9*F14</f>
        <v>482193.073733383</v>
      </c>
      <c r="G15" s="27" t="n">
        <f aca="false">G9*G14</f>
        <v>447552.509498221</v>
      </c>
      <c r="H15" s="27" t="n">
        <f aca="false">H9*H14</f>
        <v>415400.510022481</v>
      </c>
      <c r="I15" s="27" t="n">
        <f aca="false">I9*I14</f>
        <v>385558.297774718</v>
      </c>
      <c r="J15" s="27" t="n">
        <f aca="false">J9*J14</f>
        <v>357860.531950981</v>
      </c>
      <c r="K15" s="40" t="n">
        <f aca="false">SUM(C15:J15)</f>
        <v>5052599.50560992</v>
      </c>
      <c r="L15" s="18" t="s">
        <v>157</v>
      </c>
    </row>
    <row r="16" customFormat="false" ht="15" hidden="false" customHeight="true" outlineLevel="0" collapsed="false">
      <c r="A16" s="38" t="s">
        <v>158</v>
      </c>
      <c r="B16" s="39" t="s">
        <v>148</v>
      </c>
      <c r="C16" s="27" t="n">
        <f aca="false">C10*C14</f>
        <v>823348</v>
      </c>
      <c r="D16" s="27" t="n">
        <f aca="false">D10*D14</f>
        <v>2097736.21681827</v>
      </c>
      <c r="E16" s="27" t="n">
        <f aca="false">E10*E14</f>
        <v>3126550.55937902</v>
      </c>
      <c r="F16" s="27" t="n">
        <f aca="false">F10*F14</f>
        <v>4005077.5292592</v>
      </c>
      <c r="G16" s="27" t="n">
        <f aca="false">G10*G14</f>
        <v>4802052.85954901</v>
      </c>
      <c r="H16" s="27" t="n">
        <f aca="false">H10*H14</f>
        <v>5568548.23666912</v>
      </c>
      <c r="I16" s="27" t="n">
        <f aca="false">I10*I14</f>
        <v>6344094.64418456</v>
      </c>
      <c r="J16" s="27" t="n">
        <f aca="false">J10*J14</f>
        <v>7160936.12139267</v>
      </c>
      <c r="K16" s="40" t="n">
        <f aca="false">SUM(C16:J16)</f>
        <v>33928344.1672519</v>
      </c>
      <c r="L16" s="18" t="s">
        <v>159</v>
      </c>
    </row>
    <row r="17" customFormat="false" ht="15" hidden="false" customHeight="true" outlineLevel="0" collapsed="false">
      <c r="A17" s="38" t="s">
        <v>160</v>
      </c>
      <c r="B17" s="39" t="s">
        <v>148</v>
      </c>
      <c r="C17" s="27" t="n">
        <f aca="false">C16-C15</f>
        <v>-1012254</v>
      </c>
      <c r="D17" s="27" t="n">
        <f aca="false">D16-D15</f>
        <v>1488818.45182848</v>
      </c>
      <c r="E17" s="27" t="n">
        <f aca="false">E16-E15</f>
        <v>2607035.74173868</v>
      </c>
      <c r="F17" s="27" t="n">
        <f aca="false">F16-F15</f>
        <v>3522884.45552582</v>
      </c>
      <c r="G17" s="27" t="n">
        <f aca="false">G16-G15</f>
        <v>4354500.35005079</v>
      </c>
      <c r="H17" s="27" t="n">
        <f aca="false">H16-H15</f>
        <v>5153147.72664664</v>
      </c>
      <c r="I17" s="27" t="n">
        <f aca="false">I16-I15</f>
        <v>5958536.34640984</v>
      </c>
      <c r="J17" s="27" t="n">
        <f aca="false">J16-J15</f>
        <v>6803075.58944169</v>
      </c>
      <c r="K17" s="40" t="n">
        <f aca="false">SUM(C17:J17)</f>
        <v>28875744.6616419</v>
      </c>
      <c r="L17" s="18" t="s">
        <v>161</v>
      </c>
    </row>
    <row r="18" customFormat="false" ht="21.75" hidden="false" customHeight="true" outlineLevel="0" collapsed="false">
      <c r="A18" s="38" t="s">
        <v>162</v>
      </c>
      <c r="B18" s="39" t="s">
        <v>81</v>
      </c>
      <c r="C18" s="27" t="n">
        <f aca="false">C17</f>
        <v>-1012254</v>
      </c>
      <c r="D18" s="27" t="n">
        <f aca="false">C18+D17</f>
        <v>476564.451828476</v>
      </c>
      <c r="E18" s="27" t="n">
        <f aca="false">D18+E17</f>
        <v>3083600.19356715</v>
      </c>
      <c r="F18" s="27" t="n">
        <f aca="false">E18+F17</f>
        <v>6606484.64909297</v>
      </c>
      <c r="G18" s="27" t="n">
        <f aca="false">F18+G17</f>
        <v>10960984.9991438</v>
      </c>
      <c r="H18" s="27" t="n">
        <f aca="false">G18+H17</f>
        <v>16114132.7257904</v>
      </c>
      <c r="I18" s="27" t="n">
        <f aca="false">H18+I17</f>
        <v>22072669.0722002</v>
      </c>
      <c r="J18" s="27" t="n">
        <f aca="false">I18+J17</f>
        <v>28875744.6616419</v>
      </c>
      <c r="K18" s="40" t="n">
        <f aca="false">J18</f>
        <v>28875744.6616419</v>
      </c>
      <c r="L18" s="18" t="s">
        <v>163</v>
      </c>
    </row>
  </sheetData>
  <mergeCells count="4">
    <mergeCell ref="A1:L1"/>
    <mergeCell ref="A3:B3"/>
    <mergeCell ref="A8:L8"/>
    <mergeCell ref="A12:L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9"/>
    <col collapsed="false" customWidth="true" hidden="false" outlineLevel="0" max="11" min="3" style="1" width="12"/>
    <col collapsed="false" customWidth="true" hidden="false" outlineLevel="0" max="12" min="12" style="1" width="46"/>
  </cols>
  <sheetData>
    <row r="1" customFormat="false" ht="25.5" hidden="false" customHeight="true" outlineLevel="0" collapsed="false">
      <c r="A1" s="2" t="s">
        <v>164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customFormat="false" ht="15" hidden="false" customHeight="true" outlineLevel="0" collapsed="false">
      <c r="A3" s="30" t="s">
        <v>136</v>
      </c>
      <c r="B3" s="30"/>
      <c r="C3" s="31" t="n">
        <v>0.0774</v>
      </c>
    </row>
    <row r="5" customFormat="false" ht="15" hidden="false" customHeight="true" outlineLevel="0" collapsed="false">
      <c r="A5" s="5"/>
      <c r="B5" s="32" t="s">
        <v>23</v>
      </c>
      <c r="D5" s="7"/>
      <c r="E5" s="32" t="s">
        <v>137</v>
      </c>
      <c r="G5" s="8"/>
      <c r="H5" s="32" t="s">
        <v>138</v>
      </c>
    </row>
    <row r="7" customFormat="false" ht="15" hidden="false" customHeight="true" outlineLevel="0" collapsed="false">
      <c r="A7" s="14" t="s">
        <v>26</v>
      </c>
      <c r="B7" s="14" t="s">
        <v>27</v>
      </c>
      <c r="C7" s="33" t="s">
        <v>75</v>
      </c>
      <c r="D7" s="33" t="s">
        <v>76</v>
      </c>
      <c r="E7" s="33" t="s">
        <v>77</v>
      </c>
      <c r="F7" s="33" t="s">
        <v>139</v>
      </c>
      <c r="G7" s="33" t="s">
        <v>140</v>
      </c>
      <c r="H7" s="33" t="s">
        <v>141</v>
      </c>
      <c r="I7" s="33" t="s">
        <v>142</v>
      </c>
      <c r="J7" s="33" t="s">
        <v>143</v>
      </c>
      <c r="K7" s="33" t="s">
        <v>144</v>
      </c>
      <c r="L7" s="33" t="s">
        <v>145</v>
      </c>
    </row>
    <row r="8" customFormat="false" ht="15" hidden="false" customHeight="true" outlineLevel="0" collapsed="false">
      <c r="A8" s="34" t="s">
        <v>146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</row>
    <row r="9" customFormat="false" ht="15" hidden="false" customHeight="true" outlineLevel="0" collapsed="false">
      <c r="A9" s="35" t="s">
        <v>147</v>
      </c>
      <c r="B9" s="36" t="s">
        <v>148</v>
      </c>
      <c r="C9" s="17" t="n">
        <v>4834425</v>
      </c>
      <c r="D9" s="17" t="n">
        <v>3865884</v>
      </c>
      <c r="E9" s="17" t="n">
        <v>3260546</v>
      </c>
      <c r="F9" s="17" t="n">
        <v>2882210</v>
      </c>
      <c r="G9" s="17" t="n">
        <v>2645750</v>
      </c>
      <c r="H9" s="17" t="n">
        <v>2497963</v>
      </c>
      <c r="I9" s="17" t="n">
        <v>2405595</v>
      </c>
      <c r="J9" s="17" t="n">
        <v>2347866</v>
      </c>
      <c r="K9" s="37" t="n">
        <f aca="false">SUM(C9:J9)</f>
        <v>24740239</v>
      </c>
    </row>
    <row r="10" customFormat="false" ht="15" hidden="false" customHeight="true" outlineLevel="0" collapsed="false">
      <c r="A10" s="35" t="s">
        <v>149</v>
      </c>
      <c r="B10" s="36" t="s">
        <v>148</v>
      </c>
      <c r="C10" s="17" t="n">
        <v>823348</v>
      </c>
      <c r="D10" s="17" t="n">
        <v>4283189</v>
      </c>
      <c r="E10" s="17" t="n">
        <v>6985968</v>
      </c>
      <c r="F10" s="17" t="n">
        <v>9734670</v>
      </c>
      <c r="G10" s="17" t="n">
        <v>12614800</v>
      </c>
      <c r="H10" s="17" t="n">
        <v>15834289</v>
      </c>
      <c r="I10" s="17" t="n">
        <v>19588968</v>
      </c>
      <c r="J10" s="17" t="n">
        <v>24082167</v>
      </c>
      <c r="K10" s="37" t="n">
        <f aca="false">SUM(C10:J10)</f>
        <v>93947399</v>
      </c>
    </row>
    <row r="12" customFormat="false" ht="15" hidden="false" customHeight="true" outlineLevel="0" collapsed="false">
      <c r="A12" s="34" t="s">
        <v>150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</row>
    <row r="13" customFormat="false" ht="15" hidden="false" customHeight="true" outlineLevel="0" collapsed="false">
      <c r="A13" s="38" t="s">
        <v>151</v>
      </c>
      <c r="B13" s="39" t="s">
        <v>148</v>
      </c>
      <c r="C13" s="27" t="n">
        <f aca="false">C10-C9</f>
        <v>-4011077</v>
      </c>
      <c r="D13" s="27" t="n">
        <f aca="false">D10-D9</f>
        <v>417305</v>
      </c>
      <c r="E13" s="27" t="n">
        <f aca="false">E10-E9</f>
        <v>3725422</v>
      </c>
      <c r="F13" s="27" t="n">
        <f aca="false">F10-F9</f>
        <v>6852460</v>
      </c>
      <c r="G13" s="27" t="n">
        <f aca="false">G10-G9</f>
        <v>9969050</v>
      </c>
      <c r="H13" s="27" t="n">
        <f aca="false">H10-H9</f>
        <v>13336326</v>
      </c>
      <c r="I13" s="27" t="n">
        <f aca="false">I10-I9</f>
        <v>17183373</v>
      </c>
      <c r="J13" s="27" t="n">
        <f aca="false">J10-J9</f>
        <v>21734301</v>
      </c>
      <c r="K13" s="40" t="n">
        <f aca="false">SUM(C13:J13)</f>
        <v>69207160</v>
      </c>
      <c r="L13" s="18" t="s">
        <v>152</v>
      </c>
    </row>
    <row r="14" customFormat="false" ht="21.75" hidden="false" customHeight="true" outlineLevel="0" collapsed="false">
      <c r="A14" s="38" t="s">
        <v>153</v>
      </c>
      <c r="B14" s="39" t="s">
        <v>154</v>
      </c>
      <c r="C14" s="41" t="n">
        <f aca="false">1/(1+$C$3)^0</f>
        <v>1</v>
      </c>
      <c r="D14" s="41" t="n">
        <f aca="false">1/(1+$C$3)^1</f>
        <v>0.928160386114721</v>
      </c>
      <c r="E14" s="41" t="n">
        <f aca="false">1/(1+$C$3)^2</f>
        <v>0.861481702352627</v>
      </c>
      <c r="F14" s="41" t="n">
        <f aca="false">1/(1+$C$3)^3</f>
        <v>0.799593189486382</v>
      </c>
      <c r="G14" s="41" t="n">
        <f aca="false">1/(1+$C$3)^4</f>
        <v>0.742150723488381</v>
      </c>
      <c r="H14" s="41" t="n">
        <f aca="false">1/(1+$C$3)^5</f>
        <v>0.688834902068295</v>
      </c>
      <c r="I14" s="41" t="n">
        <f aca="false">1/(1+$C$3)^6</f>
        <v>0.639349268673005</v>
      </c>
      <c r="J14" s="41" t="n">
        <f aca="false">1/(1+$C$3)^7</f>
        <v>0.5934186640737</v>
      </c>
      <c r="K14" s="42" t="s">
        <v>154</v>
      </c>
      <c r="L14" s="18" t="s">
        <v>165</v>
      </c>
    </row>
    <row r="15" customFormat="false" ht="15" hidden="false" customHeight="true" outlineLevel="0" collapsed="false">
      <c r="A15" s="38" t="s">
        <v>156</v>
      </c>
      <c r="B15" s="39" t="s">
        <v>148</v>
      </c>
      <c r="C15" s="27" t="n">
        <f aca="false">C9*C14</f>
        <v>4834425</v>
      </c>
      <c r="D15" s="27" t="n">
        <f aca="false">D9*D14</f>
        <v>3588160.38611472</v>
      </c>
      <c r="E15" s="27" t="n">
        <f aca="false">E9*E14</f>
        <v>2808900.71867905</v>
      </c>
      <c r="F15" s="27" t="n">
        <f aca="false">F9*F14</f>
        <v>2304595.48666954</v>
      </c>
      <c r="G15" s="27" t="n">
        <f aca="false">G9*G14</f>
        <v>1963545.27666938</v>
      </c>
      <c r="H15" s="27" t="n">
        <f aca="false">H9*H14</f>
        <v>1720684.09847522</v>
      </c>
      <c r="I15" s="27" t="n">
        <f aca="false">I9*I14</f>
        <v>1538015.40397344</v>
      </c>
      <c r="J15" s="27" t="n">
        <f aca="false">J9*J14</f>
        <v>1393267.50514406</v>
      </c>
      <c r="K15" s="40" t="n">
        <f aca="false">SUM(C15:J15)</f>
        <v>20151593.8757254</v>
      </c>
      <c r="L15" s="18" t="s">
        <v>157</v>
      </c>
    </row>
    <row r="16" customFormat="false" ht="15" hidden="false" customHeight="true" outlineLevel="0" collapsed="false">
      <c r="A16" s="38" t="s">
        <v>158</v>
      </c>
      <c r="B16" s="39" t="s">
        <v>148</v>
      </c>
      <c r="C16" s="27" t="n">
        <f aca="false">C10*C14</f>
        <v>823348</v>
      </c>
      <c r="D16" s="27" t="n">
        <f aca="false">D10*D14</f>
        <v>3975486.35604232</v>
      </c>
      <c r="E16" s="27" t="n">
        <f aca="false">E10*E14</f>
        <v>6018283.60522098</v>
      </c>
      <c r="F16" s="27" t="n">
        <f aca="false">F10*F14</f>
        <v>7783775.83389739</v>
      </c>
      <c r="G16" s="27" t="n">
        <f aca="false">G10*G14</f>
        <v>9362082.94666123</v>
      </c>
      <c r="H16" s="27" t="n">
        <f aca="false">H10*H14</f>
        <v>10907210.9126361</v>
      </c>
      <c r="I16" s="27" t="n">
        <f aca="false">I10*I14</f>
        <v>12524192.3648589</v>
      </c>
      <c r="J16" s="27" t="n">
        <f aca="false">J10*J14</f>
        <v>14290807.3691397</v>
      </c>
      <c r="K16" s="40" t="n">
        <f aca="false">SUM(C16:J16)</f>
        <v>65685187.3884566</v>
      </c>
      <c r="L16" s="18" t="s">
        <v>159</v>
      </c>
    </row>
    <row r="17" customFormat="false" ht="15" hidden="false" customHeight="true" outlineLevel="0" collapsed="false">
      <c r="A17" s="38" t="s">
        <v>160</v>
      </c>
      <c r="B17" s="39" t="s">
        <v>148</v>
      </c>
      <c r="C17" s="27" t="n">
        <f aca="false">C16-C15</f>
        <v>-4011077</v>
      </c>
      <c r="D17" s="27" t="n">
        <f aca="false">D16-D15</f>
        <v>387325.969927603</v>
      </c>
      <c r="E17" s="27" t="n">
        <f aca="false">E16-E15</f>
        <v>3209382.88654193</v>
      </c>
      <c r="F17" s="27" t="n">
        <f aca="false">F16-F15</f>
        <v>5479180.34722785</v>
      </c>
      <c r="G17" s="27" t="n">
        <f aca="false">G16-G15</f>
        <v>7398537.66999184</v>
      </c>
      <c r="H17" s="27" t="n">
        <f aca="false">H16-H15</f>
        <v>9186526.81416086</v>
      </c>
      <c r="I17" s="27" t="n">
        <f aca="false">I16-I15</f>
        <v>10986176.9608855</v>
      </c>
      <c r="J17" s="27" t="n">
        <f aca="false">J16-J15</f>
        <v>12897539.8639957</v>
      </c>
      <c r="K17" s="40" t="n">
        <f aca="false">SUM(C17:J17)</f>
        <v>45533593.5127312</v>
      </c>
      <c r="L17" s="18" t="s">
        <v>161</v>
      </c>
    </row>
    <row r="18" customFormat="false" ht="21.75" hidden="false" customHeight="true" outlineLevel="0" collapsed="false">
      <c r="A18" s="38" t="s">
        <v>162</v>
      </c>
      <c r="B18" s="39" t="s">
        <v>81</v>
      </c>
      <c r="C18" s="27" t="n">
        <f aca="false">C17</f>
        <v>-4011077</v>
      </c>
      <c r="D18" s="27" t="n">
        <f aca="false">C18+D17</f>
        <v>-3623751.0300724</v>
      </c>
      <c r="E18" s="27" t="n">
        <f aca="false">D18+E17</f>
        <v>-414368.143530467</v>
      </c>
      <c r="F18" s="27" t="n">
        <f aca="false">E18+F17</f>
        <v>5064812.20369738</v>
      </c>
      <c r="G18" s="27" t="n">
        <f aca="false">F18+G17</f>
        <v>12463349.8736892</v>
      </c>
      <c r="H18" s="27" t="n">
        <f aca="false">G18+H17</f>
        <v>21649876.6878501</v>
      </c>
      <c r="I18" s="27" t="n">
        <f aca="false">H18+I17</f>
        <v>32636053.6487355</v>
      </c>
      <c r="J18" s="27" t="n">
        <f aca="false">I18+J17</f>
        <v>45533593.5127312</v>
      </c>
      <c r="K18" s="40" t="n">
        <f aca="false">J18</f>
        <v>45533593.5127312</v>
      </c>
      <c r="L18" s="18" t="s">
        <v>163</v>
      </c>
    </row>
  </sheetData>
  <mergeCells count="4">
    <mergeCell ref="A1:L1"/>
    <mergeCell ref="A3:B3"/>
    <mergeCell ref="A8:L8"/>
    <mergeCell ref="A12:L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20"/>
    <col collapsed="false" customWidth="true" hidden="false" outlineLevel="0" max="4" min="4" style="1" width="46"/>
  </cols>
  <sheetData>
    <row r="1" customFormat="false" ht="25.5" hidden="false" customHeight="true" outlineLevel="0" collapsed="false">
      <c r="A1" s="2" t="s">
        <v>166</v>
      </c>
      <c r="B1" s="2"/>
      <c r="C1" s="2"/>
      <c r="D1" s="2"/>
    </row>
    <row r="3" customFormat="false" ht="15" hidden="false" customHeight="true" outlineLevel="0" collapsed="false">
      <c r="B3" s="8"/>
      <c r="C3" s="32" t="s">
        <v>167</v>
      </c>
    </row>
    <row r="5" customFormat="false" ht="15" hidden="false" customHeight="true" outlineLevel="0" collapsed="false">
      <c r="A5" s="14" t="s">
        <v>168</v>
      </c>
      <c r="B5" s="33" t="s">
        <v>169</v>
      </c>
      <c r="C5" s="33" t="s">
        <v>170</v>
      </c>
      <c r="D5" s="33" t="s">
        <v>171</v>
      </c>
    </row>
    <row r="6" customFormat="false" ht="15" hidden="false" customHeight="true" outlineLevel="0" collapsed="false">
      <c r="A6" s="38" t="s">
        <v>172</v>
      </c>
      <c r="B6" s="43" t="n">
        <f aca="false">'Strategy A - Vaccination'!K9</f>
        <v>6109939</v>
      </c>
      <c r="C6" s="43" t="n">
        <f aca="false">'Strategy B - Test-and-Slaughter'!K9</f>
        <v>24740239</v>
      </c>
      <c r="D6" s="18" t="s">
        <v>173</v>
      </c>
    </row>
    <row r="7" customFormat="false" ht="21.75" hidden="false" customHeight="true" outlineLevel="0" collapsed="false">
      <c r="A7" s="38" t="s">
        <v>174</v>
      </c>
      <c r="B7" s="43" t="n">
        <f aca="false">'Strategy A - Vaccination'!K10</f>
        <v>48266074</v>
      </c>
      <c r="C7" s="43" t="n">
        <f aca="false">'Strategy B - Test-and-Slaughter'!K10</f>
        <v>93947399</v>
      </c>
      <c r="D7" s="18" t="s">
        <v>175</v>
      </c>
    </row>
    <row r="8" customFormat="false" ht="15" hidden="false" customHeight="true" outlineLevel="0" collapsed="false">
      <c r="A8" s="38" t="s">
        <v>176</v>
      </c>
      <c r="B8" s="43" t="n">
        <f aca="false">'Strategy A - Vaccination'!K15</f>
        <v>5052599.50560992</v>
      </c>
      <c r="C8" s="43" t="n">
        <f aca="false">'Strategy B - Test-and-Slaughter'!K15</f>
        <v>20151593.8757254</v>
      </c>
      <c r="D8" s="18" t="s">
        <v>177</v>
      </c>
    </row>
    <row r="9" customFormat="false" ht="15" hidden="false" customHeight="true" outlineLevel="0" collapsed="false">
      <c r="A9" s="38" t="s">
        <v>178</v>
      </c>
      <c r="B9" s="43" t="n">
        <f aca="false">'Strategy A - Vaccination'!K16</f>
        <v>33928344.1672519</v>
      </c>
      <c r="C9" s="43" t="n">
        <f aca="false">'Strategy B - Test-and-Slaughter'!K16</f>
        <v>65685187.3884566</v>
      </c>
      <c r="D9" s="18" t="s">
        <v>179</v>
      </c>
    </row>
    <row r="10" customFormat="false" ht="15" hidden="false" customHeight="true" outlineLevel="0" collapsed="false">
      <c r="A10" s="38" t="s">
        <v>180</v>
      </c>
      <c r="B10" s="43" t="n">
        <f aca="false">'Strategy A - Vaccination'!K17</f>
        <v>28875744.6616419</v>
      </c>
      <c r="C10" s="43" t="n">
        <f aca="false">'Strategy B - Test-and-Slaughter'!K17</f>
        <v>45533593.5127312</v>
      </c>
      <c r="D10" s="18" t="s">
        <v>181</v>
      </c>
    </row>
    <row r="11" customFormat="false" ht="15" hidden="false" customHeight="true" outlineLevel="0" collapsed="false">
      <c r="A11" s="38" t="s">
        <v>182</v>
      </c>
      <c r="B11" s="44" t="n">
        <f aca="false">B9/B8</f>
        <v>6.71502740907548</v>
      </c>
      <c r="C11" s="44" t="n">
        <f aca="false">C9/C8</f>
        <v>3.25955295613519</v>
      </c>
      <c r="D11" s="18" t="s">
        <v>183</v>
      </c>
    </row>
    <row r="13" customFormat="false" ht="15" hidden="false" customHeight="true" outlineLevel="0" collapsed="false">
      <c r="A13" s="34" t="s">
        <v>184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</row>
    <row r="14" customFormat="false" ht="30" hidden="false" customHeight="true" outlineLevel="0" collapsed="false">
      <c r="A14" s="45" t="s">
        <v>185</v>
      </c>
      <c r="B14" s="46" t="str">
        <f aca="false">IF(B11&gt;C11,"Vaccination","Test-and-Slaughter")</f>
        <v>Vaccination</v>
      </c>
      <c r="C14" s="18" t="s">
        <v>186</v>
      </c>
    </row>
    <row r="15" customFormat="false" ht="30" hidden="false" customHeight="true" outlineLevel="0" collapsed="false">
      <c r="A15" s="45" t="s">
        <v>187</v>
      </c>
      <c r="B15" s="46" t="str">
        <f aca="false">IF(B10&gt;C10,"Vaccination","Test-and-Slaughter")</f>
        <v>Test-and-Slaughter</v>
      </c>
      <c r="C15" s="18" t="s">
        <v>188</v>
      </c>
    </row>
  </sheetData>
  <mergeCells count="2">
    <mergeCell ref="A1:D1"/>
    <mergeCell ref="A13:L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2026-09-16T05:00:31Z</dcterms:created>
  <dc:creator>openpyxl</dc:creator>
  <dc:description/>
  <dc:language>en-US</dc:language>
  <cp:lastModifiedBy/>
  <dcterms:modified xsi:type="dcterms:W3CDTF">2026-09-28T05:34:35Z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