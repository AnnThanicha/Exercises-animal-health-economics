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66F1D4779C7818FE02230A6B0D5E183D2ED7FE8C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Instructions" sheetId="1" r:id="rId1"/>
    <sheet name="CBA - Pig Vaccin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8" i="2" l="1"/>
  <c r="J17" i="2"/>
  <c r="J16" i="2"/>
  <c r="J12" i="2"/>
  <c r="J11" i="2"/>
  <c r="J10" i="2"/>
</calcChain>
</file>

<file path=xl/sharedStrings.xml><?xml version="1.0" encoding="utf-8"?>
<sst xmlns="http://schemas.openxmlformats.org/spreadsheetml/2006/main" count="92" uniqueCount="80">
  <si>
    <t>Cost-Benefit Analysis: Pig Vaccination Investment — Student Worksheet</t>
  </si>
  <si>
    <t>Purpose</t>
  </si>
  <si>
    <t>This worksheet is the Excel version of the pig vaccination cost-benefit exercise. Use it if you prefer to calculate in a spreadsheet instead of (or alongside) the interactive web version. It works out whether Golden Field Farm should invest in a whole-herd vaccination program, using Net Present Value (NPV) and the Cost-Benefit Ratio (CBR) over a 6-year period.</t>
  </si>
  <si>
    <t>How to use this worksheet</t>
  </si>
  <si>
    <t>1. Go to the "CBA - Pig Vaccination" sheet and read the scenario at the top.</t>
  </si>
  <si>
    <t>2. Blue cells are given data — the avoided losses and program costs. Do not change them.</t>
  </si>
  <si>
    <t>3. The gold cell is the interest rate (r), already set at 6% for discounting future cash flows.</t>
  </si>
  <si>
    <t>4. Yellow cells are for you to fill in. Work down the table: Total Annual Benefit and Total Annual Cost first, then Net value, discount factor, discounted benefit/cost, NPV per year and cumulative NPV, and finally the four summary metrics. Column K gives a hint for how to calculate each row — you can type a value directly or write your own Excel formula.</t>
  </si>
  <si>
    <t>5. In the decision cell, choose Yes or No from the dropdown based on your NPV and CBR results.</t>
  </si>
  <si>
    <t>Colour guide</t>
  </si>
  <si>
    <t>Blue cell — given data. These are the numbers you need; do not edit them.</t>
  </si>
  <si>
    <t>Gold cell — key assumption (the interest rate). Already set for you.</t>
  </si>
  <si>
    <t>Yellow cell — your answer. Calculate the value and enter it here.</t>
  </si>
  <si>
    <t>Key terms</t>
  </si>
  <si>
    <t>Benefit — The value of losses avoided by vaccinating — not extra income.</t>
  </si>
  <si>
    <t>Capital cost — A one-off cost before the program starts (fridge, syringes, training). Year 0 only.</t>
  </si>
  <si>
    <t>Fixed cost — A recurring annual cost that does not change with herd size (e.g. record-keeping).</t>
  </si>
  <si>
    <t>Variable cost — A recurring annual cost that scales with the herd (e.g. vaccine doses and labor).</t>
  </si>
  <si>
    <t>Interest rate (r) — Reflects the time value of money; used to discount future years back to today.</t>
  </si>
  <si>
    <t>Net Present Value (NPV) — The value of the investment in today’s money. Positive NPV means the discounted benefits exceed the discounted costs.</t>
  </si>
  <si>
    <t>Cost-Benefit Ratio (CBR) — Total discounted benefit ÷ total discounted cost. Above 1.0 means the investment pays off.</t>
  </si>
  <si>
    <t>Cost-Benefit Analysis: Pig Vaccination Investment (6-Year NPV)</t>
  </si>
  <si>
    <t>Golden Field Farm — 1,000 finishing pigs per cycle — deciding whether to vaccinate against Enzootic Pneumonia. Year 0 is the setup year; the program then runs for 6 years.</t>
  </si>
  <si>
    <t>Interest rate used for discounting (r):</t>
  </si>
  <si>
    <t>Given data</t>
  </si>
  <si>
    <t>Key assumption</t>
  </si>
  <si>
    <t>Your answer</t>
  </si>
  <si>
    <t>Item</t>
  </si>
  <si>
    <t>Unit</t>
  </si>
  <si>
    <t>Year 0</t>
  </si>
  <si>
    <t>Year 1</t>
  </si>
  <si>
    <t>Year 2</t>
  </si>
  <si>
    <t>Year 3</t>
  </si>
  <si>
    <t>Year 4</t>
  </si>
  <si>
    <t>Year 5</t>
  </si>
  <si>
    <t>Year 6</t>
  </si>
  <si>
    <t>Total</t>
  </si>
  <si>
    <t>Hint (how to calculate)</t>
  </si>
  <si>
    <t>1.  BENEFIT – Avoided Losses (THB)</t>
  </si>
  <si>
    <t>Avoided mortality loss</t>
  </si>
  <si>
    <t>THB/yr</t>
  </si>
  <si>
    <t>Avoided growth/performance loss</t>
  </si>
  <si>
    <t>Avoided treatment cost</t>
  </si>
  <si>
    <t>Total Annual Benefit</t>
  </si>
  <si>
    <t>Sum of the three avoided-loss rows above, for each year.</t>
  </si>
  <si>
    <t>2.  COST – Vaccination Program (THB)</t>
  </si>
  <si>
    <t>Capital cost (fridge, syringes, training)</t>
  </si>
  <si>
    <t>THB</t>
  </si>
  <si>
    <t>Fixed cost (annual supervision/records)</t>
  </si>
  <si>
    <t>Variable cost (vaccine + labor)</t>
  </si>
  <si>
    <t>Total Annual Cost</t>
  </si>
  <si>
    <t>Sum of the three cost rows above, for each year.</t>
  </si>
  <si>
    <t>3.  NET VALUE &amp; DISCOUNTED CASH FLOW (THB)</t>
  </si>
  <si>
    <t>Net value (undiscounted)</t>
  </si>
  <si>
    <t>Total Annual Benefit − Total Annual Cost.</t>
  </si>
  <si>
    <t>Discount factor (r = 6%)</t>
  </si>
  <si>
    <t>—</t>
  </si>
  <si>
    <t>1 ÷ (1 + r)^year, using the interest rate in $C$4. No total for this row.</t>
  </si>
  <si>
    <t>Discounted benefit</t>
  </si>
  <si>
    <t>Total Annual Benefit × discount factor.</t>
  </si>
  <si>
    <t>Discounted cost</t>
  </si>
  <si>
    <t>Total Annual Cost × discount factor.</t>
  </si>
  <si>
    <t>Net present value (per year)</t>
  </si>
  <si>
    <t>Discounted benefit − discounted cost.</t>
  </si>
  <si>
    <t>Cumulative NPV</t>
  </si>
  <si>
    <t>Running sum of NPV per year. The Total column should match the final year’s cumulative value.</t>
  </si>
  <si>
    <t>4.  SUMMARY METRICS</t>
  </si>
  <si>
    <t>Total benefits (6-yr, undiscounted)</t>
  </si>
  <si>
    <t>Total column, Total Annual Benefit row.</t>
  </si>
  <si>
    <t>Total costs (6-yr, undiscounted)</t>
  </si>
  <si>
    <t>Total column, Total Annual Cost row.</t>
  </si>
  <si>
    <t>Net value (6-yr, undiscounted)</t>
  </si>
  <si>
    <t>Total benefits − total costs.</t>
  </si>
  <si>
    <t>Net present value – NPV</t>
  </si>
  <si>
    <t>Sum of NPV per year (= final cumulative NPV).</t>
  </si>
  <si>
    <t>Cost-benefit ratio – CBR</t>
  </si>
  <si>
    <t>Total discounted benefit ÷ total discounted cost.</t>
  </si>
  <si>
    <t>5.  DECISION</t>
  </si>
  <si>
    <t>Should Golden Field Farm invest in the vaccination program?</t>
  </si>
  <si>
    <t>Base this on your NPV and CBR results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</si>
</sst>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000"/>
  </numFmts>
  <fonts count="10" x14ac:knownFonts="1">
    <font>
      <sz val="11"/>
      <color theme="1"/>
      <name val="Calibri"/>
      <family val="2"/>
      <charset val="1"/>
    </font>
    <font>
      <b/>
      <sz val="14"/>
      <color rgb="FFFBF6EC"/>
      <name val="Arial"/>
      <family val="2"/>
    </font>
    <font>
      <b/>
      <sz val="12"/>
      <color rgb="FF4E1F19"/>
      <name val="Arial"/>
      <family val="2"/>
    </font>
    <font>
      <sz val="10"/>
      <name val="Arial"/>
      <family val="2"/>
    </font>
    <font>
      <i/>
      <sz val="9"/>
      <color rgb="FFFBF6EC"/>
      <name val="Arial"/>
      <family val="2"/>
    </font>
    <font>
      <b/>
      <sz val="10"/>
      <name val="Arial"/>
      <family val="2"/>
    </font>
    <font>
      <sz val="9"/>
      <color rgb="FF7A6F5E"/>
      <name val="Arial"/>
      <family val="2"/>
    </font>
    <font>
      <b/>
      <sz val="10"/>
      <color rgb="FFFBF6EC"/>
      <name val="Arial"/>
      <family val="2"/>
    </font>
    <font>
      <b/>
      <sz val="11"/>
      <color rgb="FF4E1F19"/>
      <name val="Arial"/>
      <family val="2"/>
    </font>
    <font>
      <i/>
      <sz val="9"/>
      <color rgb="FF7A6F5E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B2B23"/>
        <bgColor rgb="FF4E1F19"/>
      </patternFill>
    </fill>
    <fill>
      <patternFill patternType="solid">
        <fgColor rgb="FFDCE6F1"/>
        <bgColor rgb="FFF1EDE4"/>
      </patternFill>
    </fill>
    <fill>
      <patternFill patternType="solid">
        <fgColor rgb="FFFCE4B4"/>
        <bgColor rgb="FFF1E9D8"/>
      </patternFill>
    </fill>
    <fill>
      <patternFill patternType="solid">
        <fgColor rgb="FFFFF9C4"/>
        <bgColor rgb="FFFBF6EC"/>
      </patternFill>
    </fill>
    <fill>
      <patternFill patternType="solid">
        <fgColor rgb="FFF1E9D8"/>
        <bgColor rgb="FFF1EDE4"/>
      </patternFill>
    </fill>
    <fill>
      <patternFill patternType="solid">
        <fgColor rgb="FFF1EDE4"/>
        <bgColor rgb="FFF1E9D8"/>
      </patternFill>
    </fill>
  </fills>
  <borders count="2">
    <border>
      <left/>
      <right/>
      <top/>
      <bottom/>
      <diagonal/>
    </border>
    <border>
      <left/>
      <right/>
      <top style="medium">
        <color rgb="FF6B2B23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5" borderId="0" xfId="0" applyFill="1" applyAlignment="1">
      <alignment horizontal="center" vertical="center"/>
    </xf>
    <xf numFmtId="2" fontId="0" fillId="5" borderId="0" xfId="0" applyNumberFormat="1" applyFill="1" applyAlignment="1">
      <alignment horizontal="right" vertical="center"/>
    </xf>
    <xf numFmtId="3" fontId="0" fillId="5" borderId="0" xfId="0" applyNumberFormat="1" applyFill="1" applyAlignment="1">
      <alignment horizontal="right" vertical="center"/>
    </xf>
    <xf numFmtId="0" fontId="8" fillId="6" borderId="0" xfId="0" applyFont="1" applyFill="1" applyAlignment="1">
      <alignment horizontal="left" vertical="center" indent="1"/>
    </xf>
    <xf numFmtId="0" fontId="5" fillId="0" borderId="0" xfId="0" applyFont="1"/>
    <xf numFmtId="0" fontId="4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3" borderId="0" xfId="0" applyFill="1"/>
    <xf numFmtId="0" fontId="3" fillId="0" borderId="0" xfId="0" applyFont="1" applyAlignment="1">
      <alignment horizontal="left" vertical="center" wrapText="1"/>
    </xf>
    <xf numFmtId="0" fontId="0" fillId="4" borderId="0" xfId="0" applyFill="1"/>
    <xf numFmtId="0" fontId="0" fillId="5" borderId="0" xfId="0" applyFill="1"/>
    <xf numFmtId="0" fontId="5" fillId="0" borderId="0" xfId="0" applyFont="1"/>
    <xf numFmtId="9" fontId="5" fillId="4" borderId="0" xfId="0" applyNumberFormat="1" applyFont="1" applyFill="1" applyAlignment="1">
      <alignment horizontal="center" vertical="center"/>
    </xf>
    <xf numFmtId="0" fontId="6" fillId="0" borderId="0" xfId="0" applyFont="1"/>
    <xf numFmtId="0" fontId="7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/>
    </xf>
    <xf numFmtId="0" fontId="5" fillId="3" borderId="0" xfId="0" applyFont="1" applyFill="1"/>
    <xf numFmtId="0" fontId="3" fillId="3" borderId="0" xfId="0" applyFont="1" applyFill="1"/>
    <xf numFmtId="3" fontId="3" fillId="3" borderId="0" xfId="0" applyNumberFormat="1" applyFont="1" applyFill="1" applyAlignment="1">
      <alignment horizontal="right" vertical="center"/>
    </xf>
    <xf numFmtId="3" fontId="5" fillId="3" borderId="0" xfId="0" applyNumberFormat="1" applyFont="1" applyFill="1" applyAlignment="1">
      <alignment horizontal="right" vertical="center"/>
    </xf>
    <xf numFmtId="0" fontId="5" fillId="0" borderId="1" xfId="0" applyFont="1" applyBorder="1"/>
    <xf numFmtId="0" fontId="3" fillId="0" borderId="1" xfId="0" applyFont="1" applyBorder="1"/>
    <xf numFmtId="3" fontId="3" fillId="5" borderId="1" xfId="0" applyNumberFormat="1" applyFont="1" applyFill="1" applyBorder="1" applyAlignment="1">
      <alignment horizontal="right" vertical="center"/>
    </xf>
    <xf numFmtId="3" fontId="0" fillId="5" borderId="1" xfId="0" applyNumberFormat="1" applyFill="1" applyBorder="1"/>
    <xf numFmtId="0" fontId="9" fillId="0" borderId="1" xfId="0" applyFont="1" applyBorder="1" applyAlignment="1">
      <alignment horizontal="left" vertical="center" wrapText="1"/>
    </xf>
    <xf numFmtId="0" fontId="3" fillId="0" borderId="0" xfId="0" applyFont="1"/>
    <xf numFmtId="3" fontId="3" fillId="5" borderId="0" xfId="0" applyNumberFormat="1" applyFont="1" applyFill="1" applyAlignment="1">
      <alignment horizontal="right" vertical="center"/>
    </xf>
    <xf numFmtId="3" fontId="0" fillId="5" borderId="0" xfId="0" applyNumberFormat="1" applyFill="1"/>
    <xf numFmtId="0" fontId="9" fillId="0" borderId="0" xfId="0" applyFont="1" applyAlignment="1">
      <alignment horizontal="left" vertical="center" wrapText="1"/>
    </xf>
    <xf numFmtId="187" fontId="3" fillId="5" borderId="0" xfId="0" applyNumberFormat="1" applyFont="1" applyFill="1" applyAlignment="1">
      <alignment horizontal="right" vertical="center"/>
    </xf>
    <xf numFmtId="0" fontId="9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F6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F5E"/>
      <rgbColor rgb="FF9999FF"/>
      <rgbColor rgb="FF993366"/>
      <rgbColor rgb="FFFFF9C4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1EDE4"/>
      <rgbColor rgb="FFF1E9D8"/>
      <rgbColor rgb="FF99CCFF"/>
      <rgbColor rgb="FFFF99CC"/>
      <rgbColor rgb="FFCC99FF"/>
      <rgbColor rgb="FFFCE4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4E1F19"/>
      <rgbColor rgb="FF6B2B23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tabSelected="1" topLeftCell="A19" zoomScaleNormal="100" workbookViewId="0">
      <selection sqref="A1:B1"/>
    </sheetView>
  </sheetViews>
  <sheetFormatPr defaultColWidth="8.6328125" defaultRowHeight="14.5" x14ac:dyDescent="0.35"/>
  <cols>
    <col min="1" max="1" width="4" customWidth="1"/>
    <col min="2" max="2" width="100" customWidth="1"/>
  </cols>
  <sheetData>
    <row r="1" spans="1:2" ht="27.75" customHeight="1" x14ac:dyDescent="0.35">
      <c r="A1" s="7" t="s">
        <v>0</v>
      </c>
      <c r="B1" s="7"/>
    </row>
    <row r="3" spans="1:2" ht="15.5" x14ac:dyDescent="0.35">
      <c r="B3" s="8" t="s">
        <v>1</v>
      </c>
    </row>
    <row r="4" spans="1:2" ht="50" x14ac:dyDescent="0.35">
      <c r="B4" s="9" t="s">
        <v>2</v>
      </c>
    </row>
    <row r="6" spans="1:2" ht="15.5" x14ac:dyDescent="0.35">
      <c r="B6" s="8" t="s">
        <v>3</v>
      </c>
    </row>
    <row r="7" spans="1:2" x14ac:dyDescent="0.35">
      <c r="B7" s="9" t="s">
        <v>4</v>
      </c>
    </row>
    <row r="8" spans="1:2" x14ac:dyDescent="0.35">
      <c r="B8" s="9" t="s">
        <v>5</v>
      </c>
    </row>
    <row r="9" spans="1:2" x14ac:dyDescent="0.35">
      <c r="B9" s="9" t="s">
        <v>6</v>
      </c>
    </row>
    <row r="10" spans="1:2" ht="37.5" x14ac:dyDescent="0.35">
      <c r="B10" s="9" t="s">
        <v>7</v>
      </c>
    </row>
    <row r="11" spans="1:2" x14ac:dyDescent="0.35">
      <c r="B11" s="9" t="s">
        <v>8</v>
      </c>
    </row>
    <row r="13" spans="1:2" ht="15.5" x14ac:dyDescent="0.35">
      <c r="B13" s="8" t="s">
        <v>9</v>
      </c>
    </row>
    <row r="14" spans="1:2" x14ac:dyDescent="0.35">
      <c r="A14" s="10"/>
      <c r="B14" s="11" t="s">
        <v>10</v>
      </c>
    </row>
    <row r="15" spans="1:2" x14ac:dyDescent="0.35">
      <c r="A15" s="12"/>
      <c r="B15" s="11" t="s">
        <v>11</v>
      </c>
    </row>
    <row r="16" spans="1:2" x14ac:dyDescent="0.35">
      <c r="A16" s="13"/>
      <c r="B16" s="11" t="s">
        <v>12</v>
      </c>
    </row>
    <row r="18" spans="2:2" ht="15.5" x14ac:dyDescent="0.35">
      <c r="B18" s="8" t="s">
        <v>13</v>
      </c>
    </row>
    <row r="19" spans="2:2" x14ac:dyDescent="0.35">
      <c r="B19" s="9" t="s">
        <v>14</v>
      </c>
    </row>
    <row r="20" spans="2:2" x14ac:dyDescent="0.35">
      <c r="B20" s="9" t="s">
        <v>15</v>
      </c>
    </row>
    <row r="21" spans="2:2" x14ac:dyDescent="0.35">
      <c r="B21" s="9" t="s">
        <v>16</v>
      </c>
    </row>
    <row r="22" spans="2:2" x14ac:dyDescent="0.35">
      <c r="B22" s="9" t="s">
        <v>17</v>
      </c>
    </row>
    <row r="23" spans="2:2" x14ac:dyDescent="0.35">
      <c r="B23" s="9" t="s">
        <v>18</v>
      </c>
    </row>
    <row r="24" spans="2:2" ht="25" x14ac:dyDescent="0.35">
      <c r="B24" s="9" t="s">
        <v>19</v>
      </c>
    </row>
    <row r="25" spans="2:2" x14ac:dyDescent="0.35">
      <c r="B25" s="9" t="s">
        <v>20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showGridLines="0" zoomScaleNormal="100" workbookViewId="0">
      <pane xSplit="2" ySplit="8" topLeftCell="C15" activePane="bottomRight" state="frozen"/>
      <selection pane="topRight" activeCell="C1" sqref="C1"/>
      <selection pane="bottomLeft" activeCell="A9" sqref="A9"/>
      <selection pane="bottomRight" activeCell="C19" sqref="C19"/>
    </sheetView>
  </sheetViews>
  <sheetFormatPr defaultColWidth="8.6328125" defaultRowHeight="14.5" x14ac:dyDescent="0.35"/>
  <cols>
    <col min="1" max="1" width="34" customWidth="1"/>
    <col min="2" max="2" width="9" customWidth="1"/>
    <col min="3" max="10" width="12" customWidth="1"/>
    <col min="11" max="11" width="46" customWidth="1"/>
  </cols>
  <sheetData>
    <row r="1" spans="1:11" ht="25.5" customHeight="1" x14ac:dyDescent="0.35">
      <c r="A1" s="7" t="s">
        <v>21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27.75" customHeight="1" x14ac:dyDescent="0.35">
      <c r="A2" s="6" t="s">
        <v>22</v>
      </c>
      <c r="B2" s="6"/>
      <c r="C2" s="6"/>
      <c r="D2" s="6"/>
      <c r="E2" s="6"/>
      <c r="F2" s="6"/>
      <c r="G2" s="6"/>
      <c r="H2" s="6"/>
      <c r="I2" s="6"/>
      <c r="J2" s="6"/>
      <c r="K2" s="6"/>
    </row>
    <row r="4" spans="1:11" x14ac:dyDescent="0.35">
      <c r="A4" s="5" t="s">
        <v>23</v>
      </c>
      <c r="B4" s="5"/>
      <c r="C4" s="15">
        <v>0.06</v>
      </c>
    </row>
    <row r="6" spans="1:11" x14ac:dyDescent="0.35">
      <c r="A6" s="10"/>
      <c r="B6" s="16" t="s">
        <v>24</v>
      </c>
      <c r="D6" s="12"/>
      <c r="E6" s="16" t="s">
        <v>25</v>
      </c>
      <c r="G6" s="13"/>
      <c r="H6" s="16" t="s">
        <v>26</v>
      </c>
    </row>
    <row r="8" spans="1:11" x14ac:dyDescent="0.35">
      <c r="A8" s="17" t="s">
        <v>27</v>
      </c>
      <c r="B8" s="17" t="s">
        <v>28</v>
      </c>
      <c r="C8" s="18" t="s">
        <v>29</v>
      </c>
      <c r="D8" s="18" t="s">
        <v>30</v>
      </c>
      <c r="E8" s="18" t="s">
        <v>31</v>
      </c>
      <c r="F8" s="18" t="s">
        <v>32</v>
      </c>
      <c r="G8" s="18" t="s">
        <v>33</v>
      </c>
      <c r="H8" s="18" t="s">
        <v>34</v>
      </c>
      <c r="I8" s="18" t="s">
        <v>35</v>
      </c>
      <c r="J8" s="18" t="s">
        <v>36</v>
      </c>
      <c r="K8" s="18" t="s">
        <v>37</v>
      </c>
    </row>
    <row r="9" spans="1:11" x14ac:dyDescent="0.35">
      <c r="A9" s="4" t="s">
        <v>38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35">
      <c r="A10" s="19" t="s">
        <v>39</v>
      </c>
      <c r="B10" s="20" t="s">
        <v>40</v>
      </c>
      <c r="C10" s="21">
        <v>0</v>
      </c>
      <c r="D10" s="21">
        <v>180000</v>
      </c>
      <c r="E10" s="21">
        <v>180000</v>
      </c>
      <c r="F10" s="21">
        <v>180000</v>
      </c>
      <c r="G10" s="21">
        <v>180000</v>
      </c>
      <c r="H10" s="21">
        <v>180000</v>
      </c>
      <c r="I10" s="21">
        <v>180000</v>
      </c>
      <c r="J10" s="22">
        <f>SUM(C10:I10)</f>
        <v>1080000</v>
      </c>
    </row>
    <row r="11" spans="1:11" x14ac:dyDescent="0.35">
      <c r="A11" s="19" t="s">
        <v>41</v>
      </c>
      <c r="B11" s="20" t="s">
        <v>40</v>
      </c>
      <c r="C11" s="21">
        <v>0</v>
      </c>
      <c r="D11" s="21">
        <v>48000</v>
      </c>
      <c r="E11" s="21">
        <v>48000</v>
      </c>
      <c r="F11" s="21">
        <v>48000</v>
      </c>
      <c r="G11" s="21">
        <v>48000</v>
      </c>
      <c r="H11" s="21">
        <v>48000</v>
      </c>
      <c r="I11" s="21">
        <v>48000</v>
      </c>
      <c r="J11" s="22">
        <f>SUM(C11:I11)</f>
        <v>288000</v>
      </c>
    </row>
    <row r="12" spans="1:11" x14ac:dyDescent="0.35">
      <c r="A12" s="19" t="s">
        <v>42</v>
      </c>
      <c r="B12" s="20" t="s">
        <v>40</v>
      </c>
      <c r="C12" s="21">
        <v>0</v>
      </c>
      <c r="D12" s="21">
        <v>9600</v>
      </c>
      <c r="E12" s="21">
        <v>9600</v>
      </c>
      <c r="F12" s="21">
        <v>9600</v>
      </c>
      <c r="G12" s="21">
        <v>9600</v>
      </c>
      <c r="H12" s="21">
        <v>9600</v>
      </c>
      <c r="I12" s="21">
        <v>9600</v>
      </c>
      <c r="J12" s="22">
        <f>SUM(C12:I12)</f>
        <v>57600</v>
      </c>
    </row>
    <row r="13" spans="1:11" x14ac:dyDescent="0.35">
      <c r="A13" s="23" t="s">
        <v>43</v>
      </c>
      <c r="B13" s="24" t="s">
        <v>40</v>
      </c>
      <c r="C13" s="25"/>
      <c r="D13" s="25"/>
      <c r="E13" s="25"/>
      <c r="F13" s="25"/>
      <c r="G13" s="25"/>
      <c r="H13" s="25"/>
      <c r="I13" s="25"/>
      <c r="J13" s="26"/>
      <c r="K13" s="27" t="s">
        <v>44</v>
      </c>
    </row>
    <row r="15" spans="1:11" x14ac:dyDescent="0.35">
      <c r="A15" s="4" t="s">
        <v>45</v>
      </c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35">
      <c r="A16" s="19" t="s">
        <v>46</v>
      </c>
      <c r="B16" s="20" t="s">
        <v>47</v>
      </c>
      <c r="C16" s="21">
        <v>15000</v>
      </c>
      <c r="D16" s="21">
        <v>0</v>
      </c>
      <c r="E16" s="21">
        <v>0</v>
      </c>
      <c r="F16" s="21">
        <v>0</v>
      </c>
      <c r="G16" s="21">
        <v>0</v>
      </c>
      <c r="H16" s="21">
        <v>0</v>
      </c>
      <c r="I16" s="21">
        <v>0</v>
      </c>
      <c r="J16" s="22">
        <f>SUM(C16:I16)</f>
        <v>15000</v>
      </c>
    </row>
    <row r="17" spans="1:11" x14ac:dyDescent="0.35">
      <c r="A17" s="19" t="s">
        <v>48</v>
      </c>
      <c r="B17" s="20" t="s">
        <v>40</v>
      </c>
      <c r="C17" s="21">
        <v>0</v>
      </c>
      <c r="D17" s="21">
        <v>2000</v>
      </c>
      <c r="E17" s="21">
        <v>2000</v>
      </c>
      <c r="F17" s="21">
        <v>2000</v>
      </c>
      <c r="G17" s="21">
        <v>2000</v>
      </c>
      <c r="H17" s="21">
        <v>2000</v>
      </c>
      <c r="I17" s="21">
        <v>2000</v>
      </c>
      <c r="J17" s="22">
        <f>SUM(C17:I17)</f>
        <v>12000</v>
      </c>
    </row>
    <row r="18" spans="1:11" x14ac:dyDescent="0.35">
      <c r="A18" s="19" t="s">
        <v>49</v>
      </c>
      <c r="B18" s="20" t="s">
        <v>40</v>
      </c>
      <c r="C18" s="21">
        <v>0</v>
      </c>
      <c r="D18" s="21">
        <v>73000</v>
      </c>
      <c r="E18" s="21">
        <v>73000</v>
      </c>
      <c r="F18" s="21">
        <v>73000</v>
      </c>
      <c r="G18" s="21">
        <v>73000</v>
      </c>
      <c r="H18" s="21">
        <v>73000</v>
      </c>
      <c r="I18" s="21">
        <v>73000</v>
      </c>
      <c r="J18" s="22">
        <f>SUM(C18:I18)</f>
        <v>438000</v>
      </c>
    </row>
    <row r="19" spans="1:11" x14ac:dyDescent="0.35">
      <c r="A19" s="23" t="s">
        <v>50</v>
      </c>
      <c r="B19" s="24" t="s">
        <v>40</v>
      </c>
      <c r="C19" s="25"/>
      <c r="D19" s="25"/>
      <c r="E19" s="25"/>
      <c r="F19" s="25"/>
      <c r="G19" s="25"/>
      <c r="H19" s="25"/>
      <c r="I19" s="25"/>
      <c r="J19" s="26"/>
      <c r="K19" s="27" t="s">
        <v>51</v>
      </c>
    </row>
    <row r="21" spans="1:11" x14ac:dyDescent="0.35">
      <c r="A21" s="4" t="s">
        <v>52</v>
      </c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 x14ac:dyDescent="0.35">
      <c r="A22" s="14" t="s">
        <v>53</v>
      </c>
      <c r="B22" s="28" t="s">
        <v>40</v>
      </c>
      <c r="C22" s="29"/>
      <c r="D22" s="29"/>
      <c r="E22" s="29"/>
      <c r="F22" s="29"/>
      <c r="G22" s="29"/>
      <c r="H22" s="29"/>
      <c r="I22" s="29"/>
      <c r="J22" s="30"/>
      <c r="K22" s="31" t="s">
        <v>54</v>
      </c>
    </row>
    <row r="23" spans="1:11" ht="24" x14ac:dyDescent="0.35">
      <c r="A23" s="14" t="s">
        <v>55</v>
      </c>
      <c r="B23" s="28" t="s">
        <v>56</v>
      </c>
      <c r="C23" s="32"/>
      <c r="D23" s="32"/>
      <c r="E23" s="32"/>
      <c r="F23" s="32"/>
      <c r="G23" s="32"/>
      <c r="H23" s="32"/>
      <c r="I23" s="32"/>
      <c r="J23" s="33" t="s">
        <v>56</v>
      </c>
      <c r="K23" s="31" t="s">
        <v>57</v>
      </c>
    </row>
    <row r="24" spans="1:11" x14ac:dyDescent="0.35">
      <c r="A24" s="14" t="s">
        <v>58</v>
      </c>
      <c r="B24" s="28" t="s">
        <v>40</v>
      </c>
      <c r="C24" s="29"/>
      <c r="D24" s="29"/>
      <c r="E24" s="29"/>
      <c r="F24" s="29"/>
      <c r="G24" s="29"/>
      <c r="H24" s="29"/>
      <c r="I24" s="29"/>
      <c r="J24" s="30"/>
      <c r="K24" s="31" t="s">
        <v>59</v>
      </c>
    </row>
    <row r="25" spans="1:11" x14ac:dyDescent="0.35">
      <c r="A25" s="14" t="s">
        <v>60</v>
      </c>
      <c r="B25" s="28" t="s">
        <v>40</v>
      </c>
      <c r="C25" s="29"/>
      <c r="D25" s="29"/>
      <c r="E25" s="29"/>
      <c r="F25" s="29"/>
      <c r="G25" s="29"/>
      <c r="H25" s="29"/>
      <c r="I25" s="29"/>
      <c r="J25" s="30"/>
      <c r="K25" s="31" t="s">
        <v>61</v>
      </c>
    </row>
    <row r="26" spans="1:11" x14ac:dyDescent="0.35">
      <c r="A26" s="14" t="s">
        <v>62</v>
      </c>
      <c r="B26" s="28" t="s">
        <v>40</v>
      </c>
      <c r="C26" s="29"/>
      <c r="D26" s="29"/>
      <c r="E26" s="29"/>
      <c r="F26" s="29"/>
      <c r="G26" s="29"/>
      <c r="H26" s="29"/>
      <c r="I26" s="29"/>
      <c r="J26" s="30"/>
      <c r="K26" s="31" t="s">
        <v>63</v>
      </c>
    </row>
    <row r="27" spans="1:11" ht="24" x14ac:dyDescent="0.35">
      <c r="A27" s="14" t="s">
        <v>64</v>
      </c>
      <c r="B27" s="28" t="s">
        <v>47</v>
      </c>
      <c r="C27" s="29"/>
      <c r="D27" s="29"/>
      <c r="E27" s="29"/>
      <c r="F27" s="29"/>
      <c r="G27" s="29"/>
      <c r="H27" s="29"/>
      <c r="I27" s="29"/>
      <c r="J27" s="30"/>
      <c r="K27" s="31" t="s">
        <v>65</v>
      </c>
    </row>
    <row r="29" spans="1:11" x14ac:dyDescent="0.35">
      <c r="A29" s="4" t="s">
        <v>66</v>
      </c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 x14ac:dyDescent="0.35">
      <c r="A30" s="14" t="s">
        <v>67</v>
      </c>
      <c r="C30" s="3"/>
      <c r="D30" s="3"/>
      <c r="E30" s="3"/>
      <c r="F30" s="3"/>
      <c r="G30" s="3"/>
      <c r="H30" s="3"/>
      <c r="I30" s="3"/>
      <c r="J30" s="3"/>
      <c r="K30" s="31" t="s">
        <v>68</v>
      </c>
    </row>
    <row r="31" spans="1:11" x14ac:dyDescent="0.35">
      <c r="A31" s="14" t="s">
        <v>69</v>
      </c>
      <c r="C31" s="3"/>
      <c r="D31" s="3"/>
      <c r="E31" s="3"/>
      <c r="F31" s="3"/>
      <c r="G31" s="3"/>
      <c r="H31" s="3"/>
      <c r="I31" s="3"/>
      <c r="J31" s="3"/>
      <c r="K31" s="31" t="s">
        <v>70</v>
      </c>
    </row>
    <row r="32" spans="1:11" x14ac:dyDescent="0.35">
      <c r="A32" s="14" t="s">
        <v>71</v>
      </c>
      <c r="C32" s="3"/>
      <c r="D32" s="3"/>
      <c r="E32" s="3"/>
      <c r="F32" s="3"/>
      <c r="G32" s="3"/>
      <c r="H32" s="3"/>
      <c r="I32" s="3"/>
      <c r="J32" s="3"/>
      <c r="K32" s="31" t="s">
        <v>72</v>
      </c>
    </row>
    <row r="33" spans="1:11" x14ac:dyDescent="0.35">
      <c r="A33" s="14" t="s">
        <v>73</v>
      </c>
      <c r="C33" s="3"/>
      <c r="D33" s="3"/>
      <c r="E33" s="3"/>
      <c r="F33" s="3"/>
      <c r="G33" s="3"/>
      <c r="H33" s="3"/>
      <c r="I33" s="3"/>
      <c r="J33" s="3"/>
      <c r="K33" s="31" t="s">
        <v>74</v>
      </c>
    </row>
    <row r="34" spans="1:11" x14ac:dyDescent="0.35">
      <c r="A34" s="14" t="s">
        <v>75</v>
      </c>
      <c r="C34" s="2"/>
      <c r="D34" s="2"/>
      <c r="E34" s="2"/>
      <c r="F34" s="2"/>
      <c r="G34" s="2"/>
      <c r="H34" s="2"/>
      <c r="I34" s="2"/>
      <c r="J34" s="2"/>
      <c r="K34" s="31" t="s">
        <v>76</v>
      </c>
    </row>
    <row r="36" spans="1:11" x14ac:dyDescent="0.35">
      <c r="A36" s="4" t="s">
        <v>77</v>
      </c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35">
      <c r="A37" s="5" t="s">
        <v>78</v>
      </c>
      <c r="B37" s="5"/>
      <c r="C37" s="1"/>
      <c r="D37" s="1"/>
      <c r="E37" s="1"/>
      <c r="F37" s="1"/>
      <c r="G37" s="1"/>
      <c r="H37" s="1"/>
      <c r="I37" s="1"/>
      <c r="J37" s="1"/>
      <c r="K37" s="31" t="s">
        <v>79</v>
      </c>
    </row>
  </sheetData>
  <mergeCells count="15">
    <mergeCell ref="C33:J33"/>
    <mergeCell ref="C34:J34"/>
    <mergeCell ref="A36:K36"/>
    <mergeCell ref="A37:B37"/>
    <mergeCell ref="C37:J37"/>
    <mergeCell ref="A21:K21"/>
    <mergeCell ref="A29:K29"/>
    <mergeCell ref="C30:J30"/>
    <mergeCell ref="C31:J31"/>
    <mergeCell ref="C32:J32"/>
    <mergeCell ref="A1:K1"/>
    <mergeCell ref="A2:K2"/>
    <mergeCell ref="A4:B4"/>
    <mergeCell ref="A9:K9"/>
    <mergeCell ref="A15:K15"/>
  </mergeCells>
  <dataValidations count="1">
    <dataValidation type="list" allowBlank="1" sqref="C37" xr:uid="{00000000-0002-0000-01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CBA - Pig Vaccination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THANICHA CHANCHAIDECHACHAI</cp:lastModifiedBy>
  <cp:revision>0</cp:revision>
  <dcterms:created xsi:type="dcterms:W3CDTF">2026-09-15T06:59:21Z</dcterms:created>
  <dcterms:modified xsi:type="dcterms:W3CDTF">2026-09-15T07:01:47Z</dcterms:modified>
  <dc:language>en-US</dc:language>
</cp:coreProperties>
</file>