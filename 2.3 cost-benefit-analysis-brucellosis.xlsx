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Cost &amp; Benefit Estimation" sheetId="2" state="visible" r:id="rId4"/>
    <sheet name="Strategy A - Vaccination" sheetId="3" state="visible" r:id="rId5"/>
    <sheet name="Strategy B - Test-and-Slaughter" sheetId="4" state="visible" r:id="rId6"/>
    <sheet name="Summar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<sst xmlns="http://schemas.openxmlformats.org/spreadsheetml/2006/main" count="316" uniqueCount="185">
  <si>
    <t xml:space="preserve">Brucellosis Control Cost-Benefit Analysis — Student Worksheet</t>
  </si>
  <si>
    <t xml:space="preserve">Purpose</t>
  </si>
  <si>
    <t xml:space="preserve">This worksheet is the Excel version of the brucellosis control cost-benefit exercise: comparing a vaccination program against a test-and-slaughter program for controlling B. melitensis in sheep and goats, over an 8-year period. Use it if you prefer to calculate in a spreadsheet instead of (or alongside) the interactive web version.</t>
  </si>
  <si>
    <t xml:space="preserve">How to use this worksheet</t>
  </si>
  <si>
    <t xml:space="preserve">1. Start on the "Cost &amp; Benefit Estimation" sheet. It shows where the Year 1–3 costs and benefits come from. Blue cells are given inputs; fill in the yellow cells. Check rows show the gap between your answer and the given figure.</t>
  </si>
  <si>
    <t xml:space="preserve">2. Go to the "Strategy A - Vaccination" sheet. Blue cells are given data (Total annual cost and Total annual benefit) — do not change them. The gold cell is the interest rate (r), already set at 7.74%.</t>
  </si>
  <si>
    <t xml:space="preserve">3. Yellow cells are for you to fill in: Net value, discount factor, discounted cost, discounted benefit, NPV per year, and cumulative NPV. Column L gives a hint for each row — you can type a value or write your own Excel formula.</t>
  </si>
  <si>
    <t xml:space="preserve">4. Repeat the same steps on the "Strategy B - Test-and-Slaughter" sheet.</t>
  </si>
  <si>
    <t xml:space="preserve">5. On the "Summary" sheet, fill in the six comparison metrics for both strategies, then answer the two decision questions using the dropdowns.</t>
  </si>
  <si>
    <t xml:space="preserve">Colour guide</t>
  </si>
  <si>
    <t xml:space="preserve">Blue cell — given data. These are the numbers you need; do not edit them.</t>
  </si>
  <si>
    <t xml:space="preserve">Gold cell — key assumption (the interest rate). Already set for you.</t>
  </si>
  <si>
    <t xml:space="preserve">Yellow cell — your answer. Calculate the value and enter it here.</t>
  </si>
  <si>
    <t xml:space="preserve">Key terms</t>
  </si>
  <si>
    <t xml:space="preserve">Total annual cost / benefit — The program’s actual costs and benefits each year, as reported in the source study.</t>
  </si>
  <si>
    <t xml:space="preserve">Interest rate (r) — Reflects the time value of money; used to discount future years back to today. Here, r = 7.74% (Bosnia and Herzegovina’s average long-term commercial lending rate in 2009).</t>
  </si>
  <si>
    <t xml:space="preserve">Discount factor — 1 ÷ (1 + r)^t, where t = year number − 1 (so Year 1 has t = 0, undiscounted).</t>
  </si>
  <si>
    <t xml:space="preserve">Net Present Value (NPV) — The value of the strategy in today’s money. Positive NPV means discounted benefits exceed discounted costs.</t>
  </si>
  <si>
    <t xml:space="preserve">Cost-Benefit Ratio (BCR) — Total discounted benefit ÷ total discounted cost. Above 1.0 means the strategy pays off.</t>
  </si>
  <si>
    <t xml:space="preserve">Source</t>
  </si>
  <si>
    <t xml:space="preserve">Hadzovic, D., Fejzic, N., Seric-Haracic, S., van Asseldonk, M., &amp; Bergevoet, R.H.M. (2025). Cost-benefit analysis of the small ruminants vaccination program against brucellosis (B. melitensis) in Bosnia and Herzegovina. Acta Veterinaria Eurasia, 51, 0082.</t>
  </si>
  <si>
    <t xml:space="preserve">Before You Start - Cost &amp; Benefit Estimation (Years 1-3)</t>
  </si>
  <si>
    <t xml:space="preserve">Work out where the Year 1-3 figures in the Strategy sheets come from. Fill in the yellow cells.</t>
  </si>
  <si>
    <t xml:space="preserve">Given data</t>
  </si>
  <si>
    <t xml:space="preserve">Your answer</t>
  </si>
  <si>
    <t xml:space="preserve">1.  GIVEN INPUTS</t>
  </si>
  <si>
    <t xml:space="preserve">Item</t>
  </si>
  <si>
    <t xml:space="preserve">Unit</t>
  </si>
  <si>
    <t xml:space="preserve">Value</t>
  </si>
  <si>
    <t xml:space="preserve">Hint / source</t>
  </si>
  <si>
    <t xml:space="preserve">Population</t>
  </si>
  <si>
    <t xml:space="preserve">Sheep population</t>
  </si>
  <si>
    <t xml:space="preserve">head</t>
  </si>
  <si>
    <t xml:space="preserve">Goat population</t>
  </si>
  <si>
    <t xml:space="preserve">Vaccination program - per-animal costs</t>
  </si>
  <si>
    <t xml:space="preserve">Vaccine cost per animal</t>
  </si>
  <si>
    <t xml:space="preserve">EUR/head</t>
  </si>
  <si>
    <t xml:space="preserve">Veterinary / administration cost per animal</t>
  </si>
  <si>
    <t xml:space="preserve">Other cost per animal</t>
  </si>
  <si>
    <t xml:space="preserve">Share of population sampled &amp; tested alongside vaccination</t>
  </si>
  <si>
    <t xml:space="preserve">%</t>
  </si>
  <si>
    <t xml:space="preserve">Sampling &amp; testing (both strategies)</t>
  </si>
  <si>
    <t xml:space="preserve">Sampling cost per animal tested</t>
  </si>
  <si>
    <t xml:space="preserve">Testing cost per animal tested</t>
  </si>
  <si>
    <t xml:space="preserve">Test-and-slaughter</t>
  </si>
  <si>
    <t xml:space="preserve">Share of population sampled, tested &amp; culled each year</t>
  </si>
  <si>
    <t xml:space="preserve">Replacement cost per culled animal</t>
  </si>
  <si>
    <t xml:space="preserve">Destruction cost per culled animal</t>
  </si>
  <si>
    <t xml:space="preserve">Prevalence in Year 1</t>
  </si>
  <si>
    <t xml:space="preserve">From the epidemiological model.</t>
  </si>
  <si>
    <t xml:space="preserve">Annual fall in prevalence under test-and-slaughter</t>
  </si>
  <si>
    <t xml:space="preserve">Prevalence each year = previous year x (1 - this rate).</t>
  </si>
  <si>
    <t xml:space="preserve">Human case costs</t>
  </si>
  <si>
    <t xml:space="preserve">Income loss due to sick leave</t>
  </si>
  <si>
    <t xml:space="preserve">EUR/case</t>
  </si>
  <si>
    <t xml:space="preserve">Hospitalization</t>
  </si>
  <si>
    <t xml:space="preserve">Treatment / medication</t>
  </si>
  <si>
    <t xml:space="preserve">Other family costs</t>
  </si>
  <si>
    <t xml:space="preserve">Animal production losses</t>
  </si>
  <si>
    <t xml:space="preserve">Reduction in reproduction from infection</t>
  </si>
  <si>
    <t xml:space="preserve">Reduction in milk yield from infection</t>
  </si>
  <si>
    <t xml:space="preserve">Reproduction rate - sheep</t>
  </si>
  <si>
    <t xml:space="preserve">lambs/ewe/yr</t>
  </si>
  <si>
    <t xml:space="preserve">Reproduction rate - goats</t>
  </si>
  <si>
    <t xml:space="preserve">kids/doe/yr</t>
  </si>
  <si>
    <t xml:space="preserve">Price per lamb</t>
  </si>
  <si>
    <t xml:space="preserve">Price per kid</t>
  </si>
  <si>
    <t xml:space="preserve">Milk yield - sheep</t>
  </si>
  <si>
    <t xml:space="preserve">L/ewe/yr</t>
  </si>
  <si>
    <t xml:space="preserve">Milk yield - goats</t>
  </si>
  <si>
    <t xml:space="preserve">L/doe/yr</t>
  </si>
  <si>
    <t xml:space="preserve">Milk price - sheep</t>
  </si>
  <si>
    <t xml:space="preserve">EUR/L</t>
  </si>
  <si>
    <t xml:space="preserve">Milk price - goats</t>
  </si>
  <si>
    <t xml:space="preserve">2.  COST ESTIMATION - VACCINATION PROGRAM</t>
  </si>
  <si>
    <t xml:space="preserve">Year 1</t>
  </si>
  <si>
    <t xml:space="preserve">Year 2</t>
  </si>
  <si>
    <t xml:space="preserve">Year 3</t>
  </si>
  <si>
    <t xml:space="preserve">Vaccination coverage</t>
  </si>
  <si>
    <t xml:space="preserve">83.3% in Year 1 (first mass campaign), 20.2% from Year 2 onward.</t>
  </si>
  <si>
    <t xml:space="preserve">Vaccination cost - sheep</t>
  </si>
  <si>
    <t xml:space="preserve">EUR</t>
  </si>
  <si>
    <t xml:space="preserve">Population x coverage x (vaccine + vet + other) + population x tested share x (sampling + testing).</t>
  </si>
  <si>
    <t xml:space="preserve">Vaccination cost - goats</t>
  </si>
  <si>
    <t xml:space="preserve">Same formula, goat population.</t>
  </si>
  <si>
    <t xml:space="preserve">Total vaccination costs</t>
  </si>
  <si>
    <t xml:space="preserve">Sheep + goats.</t>
  </si>
  <si>
    <t xml:space="preserve">Awareness campaign</t>
  </si>
  <si>
    <t xml:space="preserve">Training</t>
  </si>
  <si>
    <t xml:space="preserve">Monitoring</t>
  </si>
  <si>
    <t xml:space="preserve">Office running costs</t>
  </si>
  <si>
    <t xml:space="preserve">Cold chain set-up &amp; maintenance</t>
  </si>
  <si>
    <t xml:space="preserve">Fixed program costs</t>
  </si>
  <si>
    <t xml:space="preserve">Sum of the five fixed-cost rows above.</t>
  </si>
  <si>
    <t xml:space="preserve">Total annual cost (your answer)</t>
  </si>
  <si>
    <t xml:space="preserve">Total vaccination costs + fixed program costs.</t>
  </si>
  <si>
    <t xml:space="preserve">Total annual cost (given, Strategy A sheet)</t>
  </si>
  <si>
    <t xml:space="preserve">Linked from the Strategy A sheet.</t>
  </si>
  <si>
    <t xml:space="preserve">Check: your answer - given</t>
  </si>
  <si>
    <t xml:space="preserve">Should be within +/-1 EUR (published figures are rounded).</t>
  </si>
  <si>
    <t xml:space="preserve">3.  COST ESTIMATION - TEST-AND-SLAUGHTER</t>
  </si>
  <si>
    <t xml:space="preserve">Prevalence</t>
  </si>
  <si>
    <t xml:space="preserve">Given: 4.5% in Year 1, falling by 37.5% a year (about 2.81%, then 1.76%).</t>
  </si>
  <si>
    <t xml:space="preserve">Test-and-slaughter cost - sheep</t>
  </si>
  <si>
    <t xml:space="preserve">Population x tested share x (sampling + testing) + population x tested share x prevalence x (replacement + destruction).</t>
  </si>
  <si>
    <t xml:space="preserve">Test-and-slaughter cost - goats</t>
  </si>
  <si>
    <t xml:space="preserve">Total annual cost (given, Strategy B sheet)</t>
  </si>
  <si>
    <t xml:space="preserve">Linked from the Strategy B sheet.</t>
  </si>
  <si>
    <t xml:space="preserve">4.  BENEFIT ESTIMATION - AVOIDED HUMAN CASES (same for both strategies)</t>
  </si>
  <si>
    <t xml:space="preserve">Avoided human cases</t>
  </si>
  <si>
    <t xml:space="preserve">cases</t>
  </si>
  <si>
    <t xml:space="preserve">From the model, vs. the rising trend under no control.</t>
  </si>
  <si>
    <t xml:space="preserve">Cost per human case</t>
  </si>
  <si>
    <t xml:space="preserve">Income loss + hospitalization + treatment + other family costs.</t>
  </si>
  <si>
    <t xml:space="preserve">Avoided human-case benefit (your answer)</t>
  </si>
  <si>
    <t xml:space="preserve">Avoided cases x cost per case.</t>
  </si>
  <si>
    <t xml:space="preserve">Avoided human-case benefit (published)</t>
  </si>
  <si>
    <t xml:space="preserve">Hadzovic et al. (2025).</t>
  </si>
  <si>
    <t xml:space="preserve">Small gap expected: the model's case counts are not whole numbers (about 402.6 and 742.7).</t>
  </si>
  <si>
    <t xml:space="preserve">5.  BENEFIT ESTIMATION - AVOIDED ANIMAL LOSSES</t>
  </si>
  <si>
    <t xml:space="preserve">Fall in prevalence (delta P)</t>
  </si>
  <si>
    <t xml:space="preserve">From the epidemiological model, rounded to 1.9% and 4% for hand calculation.</t>
  </si>
  <si>
    <t xml:space="preserve">Avoided abortion value - sheep</t>
  </si>
  <si>
    <t xml:space="preserve">delta P x sheep population x reduction in reproduction x reproduction rate x price per lamb.</t>
  </si>
  <si>
    <t xml:space="preserve">Avoided milk-loss value - sheep</t>
  </si>
  <si>
    <t xml:space="preserve">delta P x sheep population x reduction in milk yield x milk yield x milk price.</t>
  </si>
  <si>
    <t xml:space="preserve">Avoided abortion value - goats</t>
  </si>
  <si>
    <t xml:space="preserve">delta P x goat population x reduction in reproduction x reproduction rate x price per kid.</t>
  </si>
  <si>
    <t xml:space="preserve">Avoided milk-loss value - goats</t>
  </si>
  <si>
    <t xml:space="preserve">delta P x goat population x reduction in milk yield x milk yield x milk price.</t>
  </si>
  <si>
    <t xml:space="preserve">Total avoided animal-loss benefit (your answer)</t>
  </si>
  <si>
    <t xml:space="preserve">Sum of the four values above.</t>
  </si>
  <si>
    <t xml:space="preserve">Avoided animal-loss benefit (published)</t>
  </si>
  <si>
    <t xml:space="preserve">Expect your total to be slightly below published, because delta P is rounded (about 1.7% in Year 2, 0.7% in Year 3).</t>
  </si>
  <si>
    <t xml:space="preserve">Strategy A - Vaccination</t>
  </si>
  <si>
    <t xml:space="preserve">Interest rate used for discounting (r):</t>
  </si>
  <si>
    <t xml:space="preserve">Key assumption</t>
  </si>
  <si>
    <t xml:space="preserve">Year 4</t>
  </si>
  <si>
    <t xml:space="preserve">Year 5</t>
  </si>
  <si>
    <t xml:space="preserve">Year 6</t>
  </si>
  <si>
    <t xml:space="preserve">Year 7</t>
  </si>
  <si>
    <t xml:space="preserve">Year 8</t>
  </si>
  <si>
    <t xml:space="preserve">Total</t>
  </si>
  <si>
    <t xml:space="preserve">Hint (how to calculate)</t>
  </si>
  <si>
    <t xml:space="preserve">1.  GIVEN DATA (EUR)</t>
  </si>
  <si>
    <t xml:space="preserve">Total annual cost</t>
  </si>
  <si>
    <t xml:space="preserve">EUR/yr</t>
  </si>
  <si>
    <t xml:space="preserve">Total annual benefit</t>
  </si>
  <si>
    <t xml:space="preserve">2.  NET VALUE &amp; DISCOUNTED CASH FLOW (EUR)</t>
  </si>
  <si>
    <t xml:space="preserve">Net value (undiscounted)</t>
  </si>
  <si>
    <t xml:space="preserve">Total annual benefit − total annual cost.</t>
  </si>
  <si>
    <t xml:space="preserve">Discount factor (r = 7.74%)</t>
  </si>
  <si>
    <t xml:space="preserve">—</t>
  </si>
  <si>
    <t xml:space="preserve">1 ÷ (1 + r)^t, using the rate in 'Strategy A - Vaccination'!$C$3. t = year number − 1. No total for this row.</t>
  </si>
  <si>
    <t xml:space="preserve">Discounted cost</t>
  </si>
  <si>
    <t xml:space="preserve">Total annual cost × discount factor.</t>
  </si>
  <si>
    <t xml:space="preserve">Discounted benefit</t>
  </si>
  <si>
    <t xml:space="preserve">Total annual benefit × discount factor.</t>
  </si>
  <si>
    <t xml:space="preserve">Net present value (per year)</t>
  </si>
  <si>
    <t xml:space="preserve">Discounted benefit − discounted cost.</t>
  </si>
  <si>
    <t xml:space="preserve">Cumulative NPV</t>
  </si>
  <si>
    <t xml:space="preserve">Running sum of NPV per year. Total should match the final year’s cumulative value.</t>
  </si>
  <si>
    <t xml:space="preserve">Strategy B - Test-and-Slaughter</t>
  </si>
  <si>
    <t xml:space="preserve">1 ÷ (1 + r)^t, using the rate in 'Strategy B - Test-and-Slaughter'!$C$3. t = year number − 1. No total for this row.</t>
  </si>
  <si>
    <t xml:space="preserve">Summary: Compare the Two Strategies</t>
  </si>
  <si>
    <t xml:space="preserve">Yellow cell = your answer</t>
  </si>
  <si>
    <t xml:space="preserve">Metric</t>
  </si>
  <si>
    <t xml:space="preserve">Vaccination</t>
  </si>
  <si>
    <t xml:space="preserve">Test-and-Slaughter</t>
  </si>
  <si>
    <t xml:space="preserve">Hint</t>
  </si>
  <si>
    <t xml:space="preserve">Total cost (undiscounted, 8-yr)</t>
  </si>
  <si>
    <t xml:space="preserve">Total column, Total annual cost row on each strategy's sheet.</t>
  </si>
  <si>
    <t xml:space="preserve">Total benefit (undiscounted, 8-yr)</t>
  </si>
  <si>
    <t xml:space="preserve">Total column, Total annual benefit row on each strategy's sheet.</t>
  </si>
  <si>
    <t xml:space="preserve">Total discounted cost</t>
  </si>
  <si>
    <t xml:space="preserve">Total column, Discounted cost row.</t>
  </si>
  <si>
    <t xml:space="preserve">Total discounted benefit</t>
  </si>
  <si>
    <t xml:space="preserve">Total column, Discounted benefit row.</t>
  </si>
  <si>
    <t xml:space="preserve">Net present value – NPV</t>
  </si>
  <si>
    <t xml:space="preserve">Sum of NPV per year (= final cumulative NPV).</t>
  </si>
  <si>
    <t xml:space="preserve">Cost-benefit ratio – BCR</t>
  </si>
  <si>
    <t xml:space="preserve">Total discounted benefit ÷ total discounted cost.</t>
  </si>
  <si>
    <t xml:space="preserve">3.  DECISION</t>
  </si>
  <si>
    <t xml:space="preserve">Q1. Limited budget — which strategy offers better value for money?</t>
  </si>
  <si>
    <t xml:space="preserve">Q2. No budget constraint — which strategy gives the largest NPV?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</si>
</sst>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00"/>
    <numFmt numFmtId="167" formatCode="0.00"/>
    <numFmt numFmtId="168" formatCode="0.0%"/>
    <numFmt numFmtId="169" formatCode="0.00%"/>
    <numFmt numFmtId="170" formatCode="0.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BF6EC"/>
      <name val="Arial"/>
      <family val="0"/>
      <charset val="1"/>
    </font>
    <font>
      <b val="true"/>
      <sz val="12"/>
      <color rgb="FF4E1F19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7A6F5E"/>
      <name val="Arial"/>
      <family val="0"/>
      <charset val="1"/>
    </font>
    <font>
      <sz val="9"/>
      <color rgb="FF4E1F19"/>
      <name val="Arial"/>
      <family val="0"/>
      <charset val="1"/>
    </font>
    <font>
      <b val="true"/>
      <sz val="11"/>
      <color rgb="FF4E1F19"/>
      <name val="Arial"/>
      <family val="0"/>
      <charset val="1"/>
    </font>
    <font>
      <b val="true"/>
      <sz val="10"/>
      <color rgb="FFFBF6EC"/>
      <name val="Arial"/>
      <family val="0"/>
      <charset val="1"/>
    </font>
    <font>
      <b val="true"/>
      <i val="true"/>
      <sz val="10"/>
      <color rgb="FF7A6F5E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7A6F5E"/>
      <name val="Arial"/>
      <family val="0"/>
      <charset val="1"/>
    </font>
    <font>
      <sz val="9"/>
      <color rgb="FF7A6F5E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6B2B23"/>
        <bgColor rgb="FF4E1F19"/>
      </patternFill>
    </fill>
    <fill>
      <patternFill patternType="solid">
        <fgColor rgb="FFDCE6F1"/>
        <bgColor rgb="FFF1EDE4"/>
      </patternFill>
    </fill>
    <fill>
      <patternFill patternType="solid">
        <fgColor rgb="FFFCE4B4"/>
        <bgColor rgb="FFF1E9D8"/>
      </patternFill>
    </fill>
    <fill>
      <patternFill patternType="solid">
        <fgColor rgb="FFFFF9C4"/>
        <bgColor rgb="FFFBF6EC"/>
      </patternFill>
    </fill>
    <fill>
      <patternFill patternType="solid">
        <fgColor rgb="FFF1E9D8"/>
        <bgColor rgb="FFF1EDE4"/>
      </patternFill>
    </fill>
    <fill>
      <patternFill patternType="solid">
        <fgColor rgb="FFF1EDE4"/>
        <bgColor rgb="FFF1E9D8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6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5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BF6E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F5E"/>
      <rgbColor rgb="FF9999FF"/>
      <rgbColor rgb="FF993366"/>
      <rgbColor rgb="FFFFF9C4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1EDE4"/>
      <rgbColor rgb="FFF1E9D8"/>
      <rgbColor rgb="FF99CCFF"/>
      <rgbColor rgb="FFFF99CC"/>
      <rgbColor rgb="FFCC99FF"/>
      <rgbColor rgb="FFFCE4B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E1F19"/>
      <rgbColor rgb="FF6B2B23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00"/>
  </cols>
  <sheetData>
    <row r="1" customFormat="false" ht="27.75" hidden="false" customHeight="true" outlineLevel="0" collapsed="false">
      <c r="A1" s="2" t="s">
        <v>0</v>
      </c>
      <c r="B1" s="2"/>
    </row>
    <row r="3" customFormat="false" ht="15" hidden="false" customHeight="true" outlineLevel="0" collapsed="false">
      <c r="B3" s="3" t="s">
        <v>1</v>
      </c>
    </row>
    <row r="4" customFormat="false" ht="34.5" hidden="false" customHeight="true" outlineLevel="0" collapsed="false">
      <c r="B4" s="4" t="s">
        <v>2</v>
      </c>
    </row>
    <row r="6" customFormat="false" ht="15" hidden="false" customHeight="true" outlineLevel="0" collapsed="false">
      <c r="B6" s="3" t="s">
        <v>3</v>
      </c>
    </row>
    <row r="7" customFormat="false" ht="23.25" hidden="false" customHeight="true" outlineLevel="0" collapsed="false">
      <c r="B7" s="4" t="s">
        <v>4</v>
      </c>
    </row>
    <row r="8" customFormat="false" ht="15" hidden="false" customHeight="true" outlineLevel="0" collapsed="false">
      <c r="B8" s="4" t="s">
        <v>5</v>
      </c>
    </row>
    <row r="9" customFormat="false" ht="23.25" hidden="false" customHeight="true" outlineLevel="0" collapsed="false">
      <c r="B9" s="4" t="s">
        <v>6</v>
      </c>
    </row>
    <row r="10" customFormat="false" ht="15" hidden="false" customHeight="true" outlineLevel="0" collapsed="false">
      <c r="B10" s="4" t="s">
        <v>7</v>
      </c>
    </row>
    <row r="11" customFormat="false" ht="23.25" hidden="false" customHeight="true" outlineLevel="0" collapsed="false">
      <c r="B11" s="4" t="s">
        <v>8</v>
      </c>
    </row>
    <row r="13" customFormat="false" ht="15" hidden="false" customHeight="true" outlineLevel="0" collapsed="false">
      <c r="B13" s="3" t="s">
        <v>9</v>
      </c>
    </row>
    <row r="14" customFormat="false" ht="15" hidden="false" customHeight="true" outlineLevel="0" collapsed="false">
      <c r="A14" s="5"/>
      <c r="B14" s="6" t="s">
        <v>10</v>
      </c>
    </row>
    <row r="15" customFormat="false" ht="15" hidden="false" customHeight="true" outlineLevel="0" collapsed="false">
      <c r="A15" s="7"/>
      <c r="B15" s="6" t="s">
        <v>11</v>
      </c>
    </row>
    <row r="16" customFormat="false" ht="15" hidden="false" customHeight="true" outlineLevel="0" collapsed="false">
      <c r="A16" s="8"/>
      <c r="B16" s="6" t="s">
        <v>12</v>
      </c>
    </row>
    <row r="18" customFormat="false" ht="15" hidden="false" customHeight="true" outlineLevel="0" collapsed="false">
      <c r="B18" s="3" t="s">
        <v>13</v>
      </c>
    </row>
    <row r="19" customFormat="false" ht="15" hidden="false" customHeight="true" outlineLevel="0" collapsed="false">
      <c r="B19" s="4" t="s">
        <v>14</v>
      </c>
    </row>
    <row r="20" customFormat="false" ht="23.25" hidden="false" customHeight="true" outlineLevel="0" collapsed="false">
      <c r="B20" s="4" t="s">
        <v>15</v>
      </c>
    </row>
    <row r="21" customFormat="false" ht="15" hidden="false" customHeight="true" outlineLevel="0" collapsed="false">
      <c r="B21" s="4" t="s">
        <v>16</v>
      </c>
    </row>
    <row r="22" customFormat="false" ht="23.25" hidden="false" customHeight="true" outlineLevel="0" collapsed="false">
      <c r="B22" s="4" t="s">
        <v>17</v>
      </c>
    </row>
    <row r="23" customFormat="false" ht="15" hidden="false" customHeight="true" outlineLevel="0" collapsed="false">
      <c r="B23" s="4" t="s">
        <v>18</v>
      </c>
    </row>
    <row r="25" customFormat="false" ht="15" hidden="false" customHeight="true" outlineLevel="0" collapsed="false">
      <c r="B25" s="3" t="s">
        <v>19</v>
      </c>
    </row>
    <row r="26" customFormat="false" ht="34.5" hidden="false" customHeight="true" outlineLevel="0" collapsed="false">
      <c r="B26" s="4" t="s">
        <v>20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1"/>
    <col collapsed="false" customWidth="true" hidden="false" outlineLevel="0" max="3" min="3" style="1" width="14"/>
    <col collapsed="false" customWidth="true" hidden="false" outlineLevel="0" max="6" min="6" style="1" width="62"/>
  </cols>
  <sheetData>
    <row r="1" customFormat="false" ht="25.5" hidden="false" customHeight="true" outlineLevel="0" collapsed="false">
      <c r="A1" s="2" t="s">
        <v>21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9" t="s">
        <v>22</v>
      </c>
      <c r="B2" s="9"/>
      <c r="C2" s="9"/>
      <c r="D2" s="9"/>
      <c r="E2" s="9"/>
      <c r="F2" s="9"/>
    </row>
    <row r="3" customFormat="false" ht="16.5" hidden="false" customHeight="true" outlineLevel="0" collapsed="false">
      <c r="A3" s="10"/>
      <c r="B3" s="10"/>
      <c r="C3" s="11" t="s">
        <v>23</v>
      </c>
      <c r="D3" s="12" t="s">
        <v>24</v>
      </c>
      <c r="E3" s="10"/>
      <c r="F3" s="10"/>
    </row>
    <row r="4" customFormat="false" ht="16.5" hidden="false" customHeight="true" outlineLevel="0" collapsed="false">
      <c r="A4" s="10"/>
      <c r="B4" s="10"/>
      <c r="C4" s="10"/>
      <c r="D4" s="10"/>
      <c r="E4" s="10"/>
      <c r="F4" s="10"/>
    </row>
    <row r="5" customFormat="false" ht="16.5" hidden="false" customHeight="true" outlineLevel="0" collapsed="false">
      <c r="A5" s="13" t="s">
        <v>25</v>
      </c>
      <c r="B5" s="13"/>
      <c r="C5" s="13"/>
      <c r="D5" s="13"/>
      <c r="E5" s="13"/>
      <c r="F5" s="13"/>
    </row>
    <row r="6" customFormat="false" ht="16.5" hidden="false" customHeight="true" outlineLevel="0" collapsed="false">
      <c r="A6" s="14" t="s">
        <v>26</v>
      </c>
      <c r="B6" s="14" t="s">
        <v>27</v>
      </c>
      <c r="C6" s="14" t="s">
        <v>28</v>
      </c>
      <c r="D6" s="14"/>
      <c r="E6" s="14"/>
      <c r="F6" s="14" t="s">
        <v>29</v>
      </c>
    </row>
    <row r="7" customFormat="false" ht="16.5" hidden="false" customHeight="true" outlineLevel="0" collapsed="false">
      <c r="A7" s="15" t="s">
        <v>30</v>
      </c>
      <c r="B7" s="10"/>
      <c r="C7" s="10"/>
      <c r="D7" s="10"/>
      <c r="E7" s="10"/>
      <c r="F7" s="10"/>
    </row>
    <row r="8" customFormat="false" ht="16.5" hidden="false" customHeight="true" outlineLevel="0" collapsed="false">
      <c r="A8" s="16" t="s">
        <v>31</v>
      </c>
      <c r="B8" s="16" t="s">
        <v>32</v>
      </c>
      <c r="C8" s="17" t="n">
        <v>830000</v>
      </c>
      <c r="D8" s="10"/>
      <c r="E8" s="10"/>
      <c r="F8" s="18"/>
    </row>
    <row r="9" customFormat="false" ht="16.5" hidden="false" customHeight="true" outlineLevel="0" collapsed="false">
      <c r="A9" s="16" t="s">
        <v>33</v>
      </c>
      <c r="B9" s="16" t="s">
        <v>32</v>
      </c>
      <c r="C9" s="17" t="n">
        <v>53000</v>
      </c>
      <c r="D9" s="10"/>
      <c r="E9" s="10"/>
      <c r="F9" s="18"/>
    </row>
    <row r="10" customFormat="false" ht="16.5" hidden="false" customHeight="true" outlineLevel="0" collapsed="false">
      <c r="A10" s="15" t="s">
        <v>34</v>
      </c>
      <c r="B10" s="10"/>
      <c r="C10" s="10"/>
      <c r="D10" s="10"/>
      <c r="E10" s="10"/>
      <c r="F10" s="10"/>
    </row>
    <row r="11" customFormat="false" ht="16.5" hidden="false" customHeight="true" outlineLevel="0" collapsed="false">
      <c r="A11" s="16" t="s">
        <v>35</v>
      </c>
      <c r="B11" s="16" t="s">
        <v>36</v>
      </c>
      <c r="C11" s="19" t="n">
        <v>0.135</v>
      </c>
      <c r="D11" s="10"/>
      <c r="E11" s="10"/>
      <c r="F11" s="18"/>
    </row>
    <row r="12" customFormat="false" ht="16.5" hidden="false" customHeight="true" outlineLevel="0" collapsed="false">
      <c r="A12" s="16" t="s">
        <v>37</v>
      </c>
      <c r="B12" s="16" t="s">
        <v>36</v>
      </c>
      <c r="C12" s="20" t="n">
        <v>1.55</v>
      </c>
      <c r="D12" s="10"/>
      <c r="E12" s="10"/>
      <c r="F12" s="18"/>
    </row>
    <row r="13" customFormat="false" ht="16.5" hidden="false" customHeight="true" outlineLevel="0" collapsed="false">
      <c r="A13" s="16" t="s">
        <v>38</v>
      </c>
      <c r="B13" s="16" t="s">
        <v>36</v>
      </c>
      <c r="C13" s="20" t="n">
        <v>0.1</v>
      </c>
      <c r="D13" s="10"/>
      <c r="E13" s="10"/>
      <c r="F13" s="18"/>
    </row>
    <row r="14" customFormat="false" ht="25.5" hidden="false" customHeight="true" outlineLevel="0" collapsed="false">
      <c r="A14" s="21" t="s">
        <v>39</v>
      </c>
      <c r="B14" s="16" t="s">
        <v>40</v>
      </c>
      <c r="C14" s="22" t="n">
        <v>0.05</v>
      </c>
      <c r="D14" s="10"/>
      <c r="E14" s="10"/>
      <c r="F14" s="18"/>
    </row>
    <row r="15" customFormat="false" ht="16.5" hidden="false" customHeight="true" outlineLevel="0" collapsed="false">
      <c r="A15" s="15" t="s">
        <v>41</v>
      </c>
      <c r="B15" s="10"/>
      <c r="C15" s="10"/>
      <c r="D15" s="10"/>
      <c r="E15" s="10"/>
      <c r="F15" s="10"/>
    </row>
    <row r="16" customFormat="false" ht="16.5" hidden="false" customHeight="true" outlineLevel="0" collapsed="false">
      <c r="A16" s="16" t="s">
        <v>42</v>
      </c>
      <c r="B16" s="16" t="s">
        <v>36</v>
      </c>
      <c r="C16" s="20" t="n">
        <v>2.55</v>
      </c>
      <c r="D16" s="10"/>
      <c r="E16" s="10"/>
      <c r="F16" s="18"/>
    </row>
    <row r="17" customFormat="false" ht="16.5" hidden="false" customHeight="true" outlineLevel="0" collapsed="false">
      <c r="A17" s="16" t="s">
        <v>43</v>
      </c>
      <c r="B17" s="16" t="s">
        <v>36</v>
      </c>
      <c r="C17" s="20" t="n">
        <v>2.55</v>
      </c>
      <c r="D17" s="10"/>
      <c r="E17" s="10"/>
      <c r="F17" s="18"/>
    </row>
    <row r="18" customFormat="false" ht="16.5" hidden="false" customHeight="true" outlineLevel="0" collapsed="false">
      <c r="A18" s="15" t="s">
        <v>44</v>
      </c>
      <c r="B18" s="10"/>
      <c r="C18" s="10"/>
      <c r="D18" s="10"/>
      <c r="E18" s="10"/>
      <c r="F18" s="10"/>
    </row>
    <row r="19" customFormat="false" ht="25.5" hidden="false" customHeight="true" outlineLevel="0" collapsed="false">
      <c r="A19" s="21" t="s">
        <v>45</v>
      </c>
      <c r="B19" s="16" t="s">
        <v>40</v>
      </c>
      <c r="C19" s="22" t="n">
        <v>0.5</v>
      </c>
      <c r="D19" s="10"/>
      <c r="E19" s="10"/>
      <c r="F19" s="18"/>
    </row>
    <row r="20" customFormat="false" ht="16.5" hidden="false" customHeight="true" outlineLevel="0" collapsed="false">
      <c r="A20" s="16" t="s">
        <v>46</v>
      </c>
      <c r="B20" s="16" t="s">
        <v>36</v>
      </c>
      <c r="C20" s="17" t="n">
        <v>120</v>
      </c>
      <c r="D20" s="10"/>
      <c r="E20" s="10"/>
      <c r="F20" s="18"/>
    </row>
    <row r="21" customFormat="false" ht="16.5" hidden="false" customHeight="true" outlineLevel="0" collapsed="false">
      <c r="A21" s="16" t="s">
        <v>47</v>
      </c>
      <c r="B21" s="16" t="s">
        <v>36</v>
      </c>
      <c r="C21" s="17" t="n">
        <v>10</v>
      </c>
      <c r="D21" s="10"/>
      <c r="E21" s="10"/>
      <c r="F21" s="18"/>
    </row>
    <row r="22" customFormat="false" ht="16.5" hidden="false" customHeight="true" outlineLevel="0" collapsed="false">
      <c r="A22" s="16" t="s">
        <v>48</v>
      </c>
      <c r="B22" s="16" t="s">
        <v>40</v>
      </c>
      <c r="C22" s="23" t="n">
        <v>0.045</v>
      </c>
      <c r="D22" s="10"/>
      <c r="E22" s="10"/>
      <c r="F22" s="18" t="s">
        <v>49</v>
      </c>
    </row>
    <row r="23" customFormat="false" ht="25.5" hidden="false" customHeight="true" outlineLevel="0" collapsed="false">
      <c r="A23" s="21" t="s">
        <v>50</v>
      </c>
      <c r="B23" s="16" t="s">
        <v>40</v>
      </c>
      <c r="C23" s="22" t="n">
        <v>0.375</v>
      </c>
      <c r="D23" s="10"/>
      <c r="E23" s="10"/>
      <c r="F23" s="18" t="s">
        <v>51</v>
      </c>
    </row>
    <row r="24" customFormat="false" ht="16.5" hidden="false" customHeight="true" outlineLevel="0" collapsed="false">
      <c r="A24" s="15" t="s">
        <v>52</v>
      </c>
      <c r="B24" s="10"/>
      <c r="C24" s="10"/>
      <c r="D24" s="10"/>
      <c r="E24" s="10"/>
      <c r="F24" s="10"/>
    </row>
    <row r="25" customFormat="false" ht="16.5" hidden="false" customHeight="true" outlineLevel="0" collapsed="false">
      <c r="A25" s="16" t="s">
        <v>53</v>
      </c>
      <c r="B25" s="16" t="s">
        <v>54</v>
      </c>
      <c r="C25" s="17" t="n">
        <v>700</v>
      </c>
      <c r="D25" s="10"/>
      <c r="E25" s="10"/>
      <c r="F25" s="18"/>
    </row>
    <row r="26" customFormat="false" ht="16.5" hidden="false" customHeight="true" outlineLevel="0" collapsed="false">
      <c r="A26" s="16" t="s">
        <v>55</v>
      </c>
      <c r="B26" s="16" t="s">
        <v>54</v>
      </c>
      <c r="C26" s="17" t="n">
        <v>450</v>
      </c>
      <c r="D26" s="10"/>
      <c r="E26" s="10"/>
      <c r="F26" s="18"/>
    </row>
    <row r="27" customFormat="false" ht="16.5" hidden="false" customHeight="true" outlineLevel="0" collapsed="false">
      <c r="A27" s="16" t="s">
        <v>56</v>
      </c>
      <c r="B27" s="16" t="s">
        <v>54</v>
      </c>
      <c r="C27" s="17" t="n">
        <v>500</v>
      </c>
      <c r="D27" s="10"/>
      <c r="E27" s="10"/>
      <c r="F27" s="18"/>
    </row>
    <row r="28" customFormat="false" ht="16.5" hidden="false" customHeight="true" outlineLevel="0" collapsed="false">
      <c r="A28" s="16" t="s">
        <v>57</v>
      </c>
      <c r="B28" s="16" t="s">
        <v>54</v>
      </c>
      <c r="C28" s="17" t="n">
        <v>300</v>
      </c>
      <c r="D28" s="10"/>
      <c r="E28" s="10"/>
      <c r="F28" s="18"/>
    </row>
    <row r="29" customFormat="false" ht="16.5" hidden="false" customHeight="true" outlineLevel="0" collapsed="false">
      <c r="A29" s="15" t="s">
        <v>58</v>
      </c>
      <c r="B29" s="10"/>
      <c r="C29" s="10"/>
      <c r="D29" s="10"/>
      <c r="E29" s="10"/>
      <c r="F29" s="10"/>
    </row>
    <row r="30" customFormat="false" ht="16.5" hidden="false" customHeight="true" outlineLevel="0" collapsed="false">
      <c r="A30" s="16" t="s">
        <v>59</v>
      </c>
      <c r="B30" s="16" t="s">
        <v>40</v>
      </c>
      <c r="C30" s="22" t="n">
        <v>0.322</v>
      </c>
      <c r="D30" s="10"/>
      <c r="E30" s="10"/>
      <c r="F30" s="18"/>
    </row>
    <row r="31" customFormat="false" ht="16.5" hidden="false" customHeight="true" outlineLevel="0" collapsed="false">
      <c r="A31" s="16" t="s">
        <v>60</v>
      </c>
      <c r="B31" s="16" t="s">
        <v>40</v>
      </c>
      <c r="C31" s="22" t="n">
        <v>0.15</v>
      </c>
      <c r="D31" s="10"/>
      <c r="E31" s="10"/>
      <c r="F31" s="18"/>
    </row>
    <row r="32" customFormat="false" ht="16.5" hidden="false" customHeight="true" outlineLevel="0" collapsed="false">
      <c r="A32" s="16" t="s">
        <v>61</v>
      </c>
      <c r="B32" s="16" t="s">
        <v>62</v>
      </c>
      <c r="C32" s="24" t="n">
        <v>1.2</v>
      </c>
      <c r="D32" s="10"/>
      <c r="E32" s="10"/>
      <c r="F32" s="18"/>
    </row>
    <row r="33" customFormat="false" ht="16.5" hidden="false" customHeight="true" outlineLevel="0" collapsed="false">
      <c r="A33" s="16" t="s">
        <v>63</v>
      </c>
      <c r="B33" s="16" t="s">
        <v>64</v>
      </c>
      <c r="C33" s="24" t="n">
        <v>1.5</v>
      </c>
      <c r="D33" s="10"/>
      <c r="E33" s="10"/>
      <c r="F33" s="18"/>
    </row>
    <row r="34" customFormat="false" ht="16.5" hidden="false" customHeight="true" outlineLevel="0" collapsed="false">
      <c r="A34" s="16" t="s">
        <v>65</v>
      </c>
      <c r="B34" s="16" t="s">
        <v>36</v>
      </c>
      <c r="C34" s="17" t="n">
        <v>80</v>
      </c>
      <c r="D34" s="10"/>
      <c r="E34" s="10"/>
      <c r="F34" s="18"/>
    </row>
    <row r="35" customFormat="false" ht="16.5" hidden="false" customHeight="true" outlineLevel="0" collapsed="false">
      <c r="A35" s="16" t="s">
        <v>66</v>
      </c>
      <c r="B35" s="16" t="s">
        <v>36</v>
      </c>
      <c r="C35" s="17" t="n">
        <v>90</v>
      </c>
      <c r="D35" s="10"/>
      <c r="E35" s="10"/>
      <c r="F35" s="18"/>
    </row>
    <row r="36" customFormat="false" ht="16.5" hidden="false" customHeight="true" outlineLevel="0" collapsed="false">
      <c r="A36" s="16" t="s">
        <v>67</v>
      </c>
      <c r="B36" s="16" t="s">
        <v>68</v>
      </c>
      <c r="C36" s="17" t="n">
        <v>60</v>
      </c>
      <c r="D36" s="10"/>
      <c r="E36" s="10"/>
      <c r="F36" s="18"/>
    </row>
    <row r="37" customFormat="false" ht="16.5" hidden="false" customHeight="true" outlineLevel="0" collapsed="false">
      <c r="A37" s="16" t="s">
        <v>69</v>
      </c>
      <c r="B37" s="16" t="s">
        <v>70</v>
      </c>
      <c r="C37" s="17" t="n">
        <v>115</v>
      </c>
      <c r="D37" s="10"/>
      <c r="E37" s="10"/>
      <c r="F37" s="18"/>
    </row>
    <row r="38" customFormat="false" ht="16.5" hidden="false" customHeight="true" outlineLevel="0" collapsed="false">
      <c r="A38" s="16" t="s">
        <v>71</v>
      </c>
      <c r="B38" s="16" t="s">
        <v>72</v>
      </c>
      <c r="C38" s="19" t="n">
        <v>0.609</v>
      </c>
      <c r="D38" s="10"/>
      <c r="E38" s="10"/>
      <c r="F38" s="18"/>
    </row>
    <row r="39" customFormat="false" ht="16.5" hidden="false" customHeight="true" outlineLevel="0" collapsed="false">
      <c r="A39" s="16" t="s">
        <v>73</v>
      </c>
      <c r="B39" s="16" t="s">
        <v>72</v>
      </c>
      <c r="C39" s="19" t="n">
        <v>1.307</v>
      </c>
      <c r="D39" s="10"/>
      <c r="E39" s="10"/>
      <c r="F39" s="18"/>
    </row>
    <row r="40" customFormat="false" ht="16.5" hidden="false" customHeight="true" outlineLevel="0" collapsed="false">
      <c r="A40" s="10"/>
      <c r="B40" s="10"/>
      <c r="C40" s="10"/>
      <c r="D40" s="10"/>
      <c r="E40" s="10"/>
      <c r="F40" s="10"/>
    </row>
    <row r="41" customFormat="false" ht="16.5" hidden="false" customHeight="true" outlineLevel="0" collapsed="false">
      <c r="A41" s="13" t="s">
        <v>74</v>
      </c>
      <c r="B41" s="13"/>
      <c r="C41" s="13"/>
      <c r="D41" s="13"/>
      <c r="E41" s="13"/>
      <c r="F41" s="13"/>
    </row>
    <row r="42" customFormat="false" ht="16.5" hidden="false" customHeight="true" outlineLevel="0" collapsed="false">
      <c r="A42" s="14" t="s">
        <v>26</v>
      </c>
      <c r="B42" s="14" t="s">
        <v>27</v>
      </c>
      <c r="C42" s="14" t="s">
        <v>75</v>
      </c>
      <c r="D42" s="14" t="s">
        <v>76</v>
      </c>
      <c r="E42" s="14" t="s">
        <v>77</v>
      </c>
      <c r="F42" s="14" t="s">
        <v>29</v>
      </c>
    </row>
    <row r="43" customFormat="false" ht="16.5" hidden="false" customHeight="true" outlineLevel="0" collapsed="false">
      <c r="A43" s="16" t="s">
        <v>78</v>
      </c>
      <c r="B43" s="16" t="s">
        <v>40</v>
      </c>
      <c r="C43" s="22" t="n">
        <v>0.833</v>
      </c>
      <c r="D43" s="22" t="n">
        <v>0.202</v>
      </c>
      <c r="E43" s="22" t="n">
        <v>0.202</v>
      </c>
      <c r="F43" s="18" t="s">
        <v>79</v>
      </c>
    </row>
    <row r="44" customFormat="false" ht="25.5" hidden="false" customHeight="true" outlineLevel="0" collapsed="false">
      <c r="A44" s="25" t="s">
        <v>80</v>
      </c>
      <c r="B44" s="26" t="s">
        <v>81</v>
      </c>
      <c r="C44" s="27"/>
      <c r="D44" s="27"/>
      <c r="E44" s="27"/>
      <c r="F44" s="18" t="s">
        <v>82</v>
      </c>
    </row>
    <row r="45" customFormat="false" ht="16.5" hidden="false" customHeight="true" outlineLevel="0" collapsed="false">
      <c r="A45" s="25" t="s">
        <v>83</v>
      </c>
      <c r="B45" s="26" t="s">
        <v>81</v>
      </c>
      <c r="C45" s="27"/>
      <c r="D45" s="27"/>
      <c r="E45" s="27"/>
      <c r="F45" s="18" t="s">
        <v>84</v>
      </c>
    </row>
    <row r="46" customFormat="false" ht="16.5" hidden="false" customHeight="true" outlineLevel="0" collapsed="false">
      <c r="A46" s="25" t="s">
        <v>85</v>
      </c>
      <c r="B46" s="26" t="s">
        <v>81</v>
      </c>
      <c r="C46" s="28"/>
      <c r="D46" s="28"/>
      <c r="E46" s="28"/>
      <c r="F46" s="18" t="s">
        <v>86</v>
      </c>
    </row>
    <row r="47" customFormat="false" ht="16.5" hidden="false" customHeight="true" outlineLevel="0" collapsed="false">
      <c r="A47" s="16" t="s">
        <v>87</v>
      </c>
      <c r="B47" s="16" t="s">
        <v>81</v>
      </c>
      <c r="C47" s="17" t="n">
        <v>30000</v>
      </c>
      <c r="D47" s="17" t="n">
        <v>30000</v>
      </c>
      <c r="E47" s="17" t="n">
        <v>15000</v>
      </c>
      <c r="F47" s="18"/>
    </row>
    <row r="48" customFormat="false" ht="16.5" hidden="false" customHeight="true" outlineLevel="0" collapsed="false">
      <c r="A48" s="16" t="s">
        <v>88</v>
      </c>
      <c r="B48" s="16" t="s">
        <v>81</v>
      </c>
      <c r="C48" s="17" t="n">
        <v>40000</v>
      </c>
      <c r="D48" s="17" t="n">
        <v>40000</v>
      </c>
      <c r="E48" s="17" t="n">
        <v>20000</v>
      </c>
      <c r="F48" s="18"/>
    </row>
    <row r="49" customFormat="false" ht="16.5" hidden="false" customHeight="true" outlineLevel="0" collapsed="false">
      <c r="A49" s="16" t="s">
        <v>89</v>
      </c>
      <c r="B49" s="16" t="s">
        <v>81</v>
      </c>
      <c r="C49" s="17" t="n">
        <v>24000</v>
      </c>
      <c r="D49" s="17" t="n">
        <v>24000</v>
      </c>
      <c r="E49" s="17" t="n">
        <v>6000</v>
      </c>
      <c r="F49" s="18"/>
    </row>
    <row r="50" customFormat="false" ht="16.5" hidden="false" customHeight="true" outlineLevel="0" collapsed="false">
      <c r="A50" s="16" t="s">
        <v>90</v>
      </c>
      <c r="B50" s="16" t="s">
        <v>81</v>
      </c>
      <c r="C50" s="17" t="n">
        <v>10000</v>
      </c>
      <c r="D50" s="17" t="n">
        <v>5000</v>
      </c>
      <c r="E50" s="17" t="n">
        <v>5000</v>
      </c>
      <c r="F50" s="18"/>
    </row>
    <row r="51" customFormat="false" ht="16.5" hidden="false" customHeight="true" outlineLevel="0" collapsed="false">
      <c r="A51" s="16" t="s">
        <v>91</v>
      </c>
      <c r="B51" s="16" t="s">
        <v>81</v>
      </c>
      <c r="C51" s="17" t="n">
        <v>193500</v>
      </c>
      <c r="D51" s="17" t="n">
        <v>13500</v>
      </c>
      <c r="E51" s="17" t="n">
        <v>13500</v>
      </c>
      <c r="F51" s="18"/>
    </row>
    <row r="52" customFormat="false" ht="16.5" hidden="false" customHeight="true" outlineLevel="0" collapsed="false">
      <c r="A52" s="25" t="s">
        <v>92</v>
      </c>
      <c r="B52" s="26" t="s">
        <v>81</v>
      </c>
      <c r="C52" s="27"/>
      <c r="D52" s="27"/>
      <c r="E52" s="27"/>
      <c r="F52" s="18" t="s">
        <v>93</v>
      </c>
    </row>
    <row r="53" customFormat="false" ht="16.5" hidden="false" customHeight="true" outlineLevel="0" collapsed="false">
      <c r="A53" s="25" t="s">
        <v>94</v>
      </c>
      <c r="B53" s="26" t="s">
        <v>81</v>
      </c>
      <c r="C53" s="28"/>
      <c r="D53" s="28"/>
      <c r="E53" s="28"/>
      <c r="F53" s="18" t="s">
        <v>95</v>
      </c>
    </row>
    <row r="54" customFormat="false" ht="16.5" hidden="false" customHeight="true" outlineLevel="0" collapsed="false">
      <c r="A54" s="16" t="s">
        <v>96</v>
      </c>
      <c r="B54" s="16" t="s">
        <v>81</v>
      </c>
      <c r="C54" s="17" t="n">
        <f aca="false">'Strategy A - Vaccination'!C9</f>
        <v>1835602</v>
      </c>
      <c r="D54" s="17" t="n">
        <f aca="false">'Strategy A - Vaccination'!D9</f>
        <v>656048</v>
      </c>
      <c r="E54" s="17" t="n">
        <f aca="false">'Strategy A - Vaccination'!E9</f>
        <v>603048</v>
      </c>
      <c r="F54" s="18" t="s">
        <v>97</v>
      </c>
    </row>
    <row r="55" customFormat="false" ht="16.5" hidden="false" customHeight="true" outlineLevel="0" collapsed="false">
      <c r="A55" s="25" t="s">
        <v>98</v>
      </c>
      <c r="B55" s="26" t="s">
        <v>81</v>
      </c>
      <c r="C55" s="29" t="str">
        <f aca="false">IF(C53="","",C53-C54)</f>
        <v/>
      </c>
      <c r="D55" s="29" t="str">
        <f aca="false">IF(D53="","",D53-D54)</f>
        <v/>
      </c>
      <c r="E55" s="29" t="str">
        <f aca="false">IF(E53="","",E53-E54)</f>
        <v/>
      </c>
      <c r="F55" s="18" t="s">
        <v>99</v>
      </c>
    </row>
    <row r="56" customFormat="false" ht="16.5" hidden="false" customHeight="true" outlineLevel="0" collapsed="false">
      <c r="A56" s="10"/>
      <c r="B56" s="10"/>
      <c r="C56" s="10"/>
      <c r="D56" s="10"/>
      <c r="E56" s="10"/>
      <c r="F56" s="10"/>
    </row>
    <row r="57" customFormat="false" ht="16.5" hidden="false" customHeight="true" outlineLevel="0" collapsed="false">
      <c r="A57" s="13" t="s">
        <v>100</v>
      </c>
      <c r="B57" s="13"/>
      <c r="C57" s="13"/>
      <c r="D57" s="13"/>
      <c r="E57" s="13"/>
      <c r="F57" s="13"/>
    </row>
    <row r="58" customFormat="false" ht="16.5" hidden="false" customHeight="true" outlineLevel="0" collapsed="false">
      <c r="A58" s="14" t="s">
        <v>26</v>
      </c>
      <c r="B58" s="14" t="s">
        <v>27</v>
      </c>
      <c r="C58" s="14" t="s">
        <v>75</v>
      </c>
      <c r="D58" s="14" t="s">
        <v>76</v>
      </c>
      <c r="E58" s="14" t="s">
        <v>77</v>
      </c>
      <c r="F58" s="14" t="s">
        <v>29</v>
      </c>
    </row>
    <row r="59" customFormat="false" ht="25.5" hidden="false" customHeight="true" outlineLevel="0" collapsed="false">
      <c r="A59" s="25" t="s">
        <v>101</v>
      </c>
      <c r="B59" s="26" t="s">
        <v>40</v>
      </c>
      <c r="C59" s="23" t="n">
        <v>0.045</v>
      </c>
      <c r="D59" s="23" t="n">
        <v>0.028125</v>
      </c>
      <c r="E59" s="23" t="n">
        <v>0.017578125</v>
      </c>
      <c r="F59" s="18" t="s">
        <v>102</v>
      </c>
    </row>
    <row r="60" customFormat="false" ht="25.5" hidden="false" customHeight="true" outlineLevel="0" collapsed="false">
      <c r="A60" s="25" t="s">
        <v>103</v>
      </c>
      <c r="B60" s="26" t="s">
        <v>81</v>
      </c>
      <c r="C60" s="27"/>
      <c r="D60" s="27"/>
      <c r="E60" s="27"/>
      <c r="F60" s="18" t="s">
        <v>104</v>
      </c>
    </row>
    <row r="61" customFormat="false" ht="16.5" hidden="false" customHeight="true" outlineLevel="0" collapsed="false">
      <c r="A61" s="25" t="s">
        <v>105</v>
      </c>
      <c r="B61" s="26" t="s">
        <v>81</v>
      </c>
      <c r="C61" s="27"/>
      <c r="D61" s="27"/>
      <c r="E61" s="27"/>
      <c r="F61" s="18" t="s">
        <v>84</v>
      </c>
    </row>
    <row r="62" customFormat="false" ht="16.5" hidden="false" customHeight="true" outlineLevel="0" collapsed="false">
      <c r="A62" s="25" t="s">
        <v>94</v>
      </c>
      <c r="B62" s="26" t="s">
        <v>81</v>
      </c>
      <c r="C62" s="28"/>
      <c r="D62" s="28"/>
      <c r="E62" s="28"/>
      <c r="F62" s="18" t="s">
        <v>86</v>
      </c>
    </row>
    <row r="63" customFormat="false" ht="16.5" hidden="false" customHeight="true" outlineLevel="0" collapsed="false">
      <c r="A63" s="16" t="s">
        <v>106</v>
      </c>
      <c r="B63" s="16" t="s">
        <v>81</v>
      </c>
      <c r="C63" s="17" t="n">
        <f aca="false">'Strategy B - Test-and-Slaughter'!C9</f>
        <v>4834425</v>
      </c>
      <c r="D63" s="17" t="n">
        <f aca="false">'Strategy B - Test-and-Slaughter'!D9</f>
        <v>3865884</v>
      </c>
      <c r="E63" s="17" t="n">
        <f aca="false">'Strategy B - Test-and-Slaughter'!E9</f>
        <v>3260546</v>
      </c>
      <c r="F63" s="18" t="s">
        <v>107</v>
      </c>
    </row>
    <row r="64" customFormat="false" ht="16.5" hidden="false" customHeight="true" outlineLevel="0" collapsed="false">
      <c r="A64" s="25" t="s">
        <v>98</v>
      </c>
      <c r="B64" s="26" t="s">
        <v>81</v>
      </c>
      <c r="C64" s="29" t="str">
        <f aca="false">IF(C62="","",C62-C63)</f>
        <v/>
      </c>
      <c r="D64" s="29" t="str">
        <f aca="false">IF(D62="","",D62-D63)</f>
        <v/>
      </c>
      <c r="E64" s="29" t="str">
        <f aca="false">IF(E62="","",E62-E63)</f>
        <v/>
      </c>
      <c r="F64" s="18" t="s">
        <v>99</v>
      </c>
    </row>
    <row r="65" customFormat="false" ht="16.5" hidden="false" customHeight="true" outlineLevel="0" collapsed="false">
      <c r="A65" s="10"/>
      <c r="B65" s="10"/>
      <c r="C65" s="10"/>
      <c r="D65" s="10"/>
      <c r="E65" s="10"/>
      <c r="F65" s="10"/>
    </row>
    <row r="66" customFormat="false" ht="16.5" hidden="false" customHeight="true" outlineLevel="0" collapsed="false">
      <c r="A66" s="13" t="s">
        <v>108</v>
      </c>
      <c r="B66" s="13"/>
      <c r="C66" s="13"/>
      <c r="D66" s="13"/>
      <c r="E66" s="13"/>
      <c r="F66" s="13"/>
    </row>
    <row r="67" customFormat="false" ht="16.5" hidden="false" customHeight="true" outlineLevel="0" collapsed="false">
      <c r="A67" s="14" t="s">
        <v>26</v>
      </c>
      <c r="B67" s="14" t="s">
        <v>27</v>
      </c>
      <c r="C67" s="14" t="s">
        <v>75</v>
      </c>
      <c r="D67" s="14" t="s">
        <v>76</v>
      </c>
      <c r="E67" s="14" t="s">
        <v>77</v>
      </c>
      <c r="F67" s="14" t="s">
        <v>29</v>
      </c>
    </row>
    <row r="68" customFormat="false" ht="16.5" hidden="false" customHeight="true" outlineLevel="0" collapsed="false">
      <c r="A68" s="16" t="s">
        <v>109</v>
      </c>
      <c r="B68" s="16" t="s">
        <v>110</v>
      </c>
      <c r="C68" s="17" t="n">
        <v>0</v>
      </c>
      <c r="D68" s="17" t="n">
        <v>403</v>
      </c>
      <c r="E68" s="17" t="n">
        <v>743</v>
      </c>
      <c r="F68" s="18" t="s">
        <v>111</v>
      </c>
    </row>
    <row r="69" customFormat="false" ht="16.5" hidden="false" customHeight="true" outlineLevel="0" collapsed="false">
      <c r="A69" s="25" t="s">
        <v>112</v>
      </c>
      <c r="B69" s="26" t="s">
        <v>54</v>
      </c>
      <c r="C69" s="27"/>
      <c r="D69" s="27"/>
      <c r="E69" s="27"/>
      <c r="F69" s="18" t="s">
        <v>113</v>
      </c>
    </row>
    <row r="70" customFormat="false" ht="16.5" hidden="false" customHeight="true" outlineLevel="0" collapsed="false">
      <c r="A70" s="25" t="s">
        <v>114</v>
      </c>
      <c r="B70" s="26" t="s">
        <v>81</v>
      </c>
      <c r="C70" s="28"/>
      <c r="D70" s="28"/>
      <c r="E70" s="28"/>
      <c r="F70" s="18" t="s">
        <v>115</v>
      </c>
    </row>
    <row r="71" customFormat="false" ht="16.5" hidden="false" customHeight="true" outlineLevel="0" collapsed="false">
      <c r="A71" s="16" t="s">
        <v>116</v>
      </c>
      <c r="B71" s="16" t="s">
        <v>81</v>
      </c>
      <c r="C71" s="17" t="n">
        <v>0</v>
      </c>
      <c r="D71" s="17" t="n">
        <v>785012</v>
      </c>
      <c r="E71" s="17" t="n">
        <v>1448346</v>
      </c>
      <c r="F71" s="18" t="s">
        <v>117</v>
      </c>
    </row>
    <row r="72" customFormat="false" ht="25.5" hidden="false" customHeight="true" outlineLevel="0" collapsed="false">
      <c r="A72" s="25" t="s">
        <v>98</v>
      </c>
      <c r="B72" s="26" t="s">
        <v>81</v>
      </c>
      <c r="C72" s="29" t="str">
        <f aca="false">IF(C70="","",C70-C71)</f>
        <v/>
      </c>
      <c r="D72" s="29" t="str">
        <f aca="false">IF(D70="","",D70-D71)</f>
        <v/>
      </c>
      <c r="E72" s="29" t="str">
        <f aca="false">IF(E70="","",E70-E71)</f>
        <v/>
      </c>
      <c r="F72" s="18" t="s">
        <v>118</v>
      </c>
    </row>
    <row r="73" customFormat="false" ht="16.5" hidden="false" customHeight="true" outlineLevel="0" collapsed="false">
      <c r="A73" s="10"/>
      <c r="B73" s="10"/>
      <c r="C73" s="10"/>
      <c r="D73" s="10"/>
      <c r="E73" s="10"/>
      <c r="F73" s="10"/>
    </row>
    <row r="74" customFormat="false" ht="16.5" hidden="false" customHeight="true" outlineLevel="0" collapsed="false">
      <c r="A74" s="13" t="s">
        <v>119</v>
      </c>
      <c r="B74" s="13"/>
      <c r="C74" s="13"/>
      <c r="D74" s="13"/>
      <c r="E74" s="13"/>
      <c r="F74" s="13"/>
    </row>
    <row r="75" customFormat="false" ht="16.5" hidden="false" customHeight="true" outlineLevel="0" collapsed="false">
      <c r="A75" s="14" t="s">
        <v>26</v>
      </c>
      <c r="B75" s="14" t="s">
        <v>27</v>
      </c>
      <c r="C75" s="14" t="s">
        <v>75</v>
      </c>
      <c r="D75" s="14" t="s">
        <v>76</v>
      </c>
      <c r="E75" s="14" t="s">
        <v>77</v>
      </c>
      <c r="F75" s="14" t="s">
        <v>29</v>
      </c>
    </row>
    <row r="76" customFormat="false" ht="16.5" hidden="false" customHeight="true" outlineLevel="0" collapsed="false">
      <c r="A76" s="16" t="s">
        <v>120</v>
      </c>
      <c r="B76" s="16" t="s">
        <v>40</v>
      </c>
      <c r="C76" s="22" t="n">
        <v>0</v>
      </c>
      <c r="D76" s="22" t="n">
        <v>0.019</v>
      </c>
      <c r="E76" s="22" t="n">
        <v>0.04</v>
      </c>
      <c r="F76" s="18" t="s">
        <v>121</v>
      </c>
    </row>
    <row r="77" customFormat="false" ht="25.5" hidden="false" customHeight="true" outlineLevel="0" collapsed="false">
      <c r="A77" s="25" t="s">
        <v>122</v>
      </c>
      <c r="B77" s="26" t="s">
        <v>81</v>
      </c>
      <c r="C77" s="27"/>
      <c r="D77" s="27"/>
      <c r="E77" s="27"/>
      <c r="F77" s="18" t="s">
        <v>123</v>
      </c>
    </row>
    <row r="78" customFormat="false" ht="25.5" hidden="false" customHeight="true" outlineLevel="0" collapsed="false">
      <c r="A78" s="25" t="s">
        <v>124</v>
      </c>
      <c r="B78" s="26" t="s">
        <v>81</v>
      </c>
      <c r="C78" s="27"/>
      <c r="D78" s="27"/>
      <c r="E78" s="27"/>
      <c r="F78" s="18" t="s">
        <v>125</v>
      </c>
    </row>
    <row r="79" customFormat="false" ht="25.5" hidden="false" customHeight="true" outlineLevel="0" collapsed="false">
      <c r="A79" s="25" t="s">
        <v>126</v>
      </c>
      <c r="B79" s="26" t="s">
        <v>81</v>
      </c>
      <c r="C79" s="27"/>
      <c r="D79" s="27"/>
      <c r="E79" s="27"/>
      <c r="F79" s="18" t="s">
        <v>127</v>
      </c>
    </row>
    <row r="80" customFormat="false" ht="25.5" hidden="false" customHeight="true" outlineLevel="0" collapsed="false">
      <c r="A80" s="25" t="s">
        <v>128</v>
      </c>
      <c r="B80" s="26" t="s">
        <v>81</v>
      </c>
      <c r="C80" s="27"/>
      <c r="D80" s="27"/>
      <c r="E80" s="27"/>
      <c r="F80" s="18" t="s">
        <v>129</v>
      </c>
    </row>
    <row r="81" customFormat="false" ht="16.5" hidden="false" customHeight="true" outlineLevel="0" collapsed="false">
      <c r="A81" s="25" t="s">
        <v>130</v>
      </c>
      <c r="B81" s="26" t="s">
        <v>81</v>
      </c>
      <c r="C81" s="28"/>
      <c r="D81" s="28"/>
      <c r="E81" s="28"/>
      <c r="F81" s="18" t="s">
        <v>131</v>
      </c>
    </row>
    <row r="82" customFormat="false" ht="16.5" hidden="false" customHeight="true" outlineLevel="0" collapsed="false">
      <c r="A82" s="16" t="s">
        <v>132</v>
      </c>
      <c r="B82" s="16" t="s">
        <v>81</v>
      </c>
      <c r="C82" s="17" t="n">
        <v>0</v>
      </c>
      <c r="D82" s="17" t="n">
        <v>651741</v>
      </c>
      <c r="E82" s="17" t="n">
        <v>1357577</v>
      </c>
      <c r="F82" s="18" t="s">
        <v>117</v>
      </c>
    </row>
    <row r="83" customFormat="false" ht="16.5" hidden="false" customHeight="true" outlineLevel="0" collapsed="false">
      <c r="A83" s="25" t="s">
        <v>98</v>
      </c>
      <c r="B83" s="26" t="s">
        <v>81</v>
      </c>
      <c r="C83" s="29" t="str">
        <f aca="false">IF(C81="","",C81-C82)</f>
        <v/>
      </c>
      <c r="D83" s="29" t="str">
        <f aca="false">IF(D81="","",D81-D82)</f>
        <v/>
      </c>
      <c r="E83" s="29" t="str">
        <f aca="false">IF(E81="","",E81-E82)</f>
        <v/>
      </c>
      <c r="F83" s="18" t="s">
        <v>133</v>
      </c>
    </row>
    <row r="84" customFormat="false" ht="16.5" hidden="false" customHeight="true" outlineLevel="0" collapsed="false">
      <c r="A84" s="10"/>
      <c r="B84" s="10"/>
      <c r="C84" s="10"/>
      <c r="D84" s="10"/>
      <c r="E84" s="10"/>
      <c r="F84" s="10"/>
    </row>
  </sheetData>
  <mergeCells count="7">
    <mergeCell ref="A1:F1"/>
    <mergeCell ref="A2:F2"/>
    <mergeCell ref="A5:F5"/>
    <mergeCell ref="A41:F41"/>
    <mergeCell ref="A57:F57"/>
    <mergeCell ref="A66:F66"/>
    <mergeCell ref="A74:F7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9"/>
    <col collapsed="false" customWidth="true" hidden="false" outlineLevel="0" max="11" min="3" style="1" width="12"/>
    <col collapsed="false" customWidth="true" hidden="false" outlineLevel="0" max="12" min="12" style="1" width="46"/>
  </cols>
  <sheetData>
    <row r="1" customFormat="false" ht="25.5" hidden="false" customHeight="true" outlineLevel="0" collapsed="false">
      <c r="A1" s="2" t="s">
        <v>134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3" customFormat="false" ht="15" hidden="false" customHeight="true" outlineLevel="0" collapsed="false">
      <c r="A3" s="30" t="s">
        <v>135</v>
      </c>
      <c r="B3" s="30"/>
      <c r="C3" s="31" t="n">
        <v>0.0774</v>
      </c>
    </row>
    <row r="5" customFormat="false" ht="15" hidden="false" customHeight="true" outlineLevel="0" collapsed="false">
      <c r="A5" s="5"/>
      <c r="B5" s="32" t="s">
        <v>23</v>
      </c>
      <c r="D5" s="7"/>
      <c r="E5" s="32" t="s">
        <v>136</v>
      </c>
      <c r="G5" s="8"/>
      <c r="H5" s="32" t="s">
        <v>24</v>
      </c>
    </row>
    <row r="7" customFormat="false" ht="15" hidden="false" customHeight="true" outlineLevel="0" collapsed="false">
      <c r="A7" s="14" t="s">
        <v>26</v>
      </c>
      <c r="B7" s="14" t="s">
        <v>27</v>
      </c>
      <c r="C7" s="33" t="s">
        <v>75</v>
      </c>
      <c r="D7" s="33" t="s">
        <v>76</v>
      </c>
      <c r="E7" s="33" t="s">
        <v>77</v>
      </c>
      <c r="F7" s="33" t="s">
        <v>137</v>
      </c>
      <c r="G7" s="33" t="s">
        <v>138</v>
      </c>
      <c r="H7" s="33" t="s">
        <v>139</v>
      </c>
      <c r="I7" s="33" t="s">
        <v>140</v>
      </c>
      <c r="J7" s="33" t="s">
        <v>141</v>
      </c>
      <c r="K7" s="33" t="s">
        <v>142</v>
      </c>
      <c r="L7" s="33" t="s">
        <v>143</v>
      </c>
    </row>
    <row r="8" customFormat="false" ht="15" hidden="false" customHeight="true" outlineLevel="0" collapsed="false">
      <c r="A8" s="34" t="s">
        <v>144</v>
      </c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</row>
    <row r="9" customFormat="false" ht="15" hidden="false" customHeight="true" outlineLevel="0" collapsed="false">
      <c r="A9" s="35" t="s">
        <v>145</v>
      </c>
      <c r="B9" s="36" t="s">
        <v>146</v>
      </c>
      <c r="C9" s="17" t="n">
        <v>1835602</v>
      </c>
      <c r="D9" s="17" t="n">
        <v>656048</v>
      </c>
      <c r="E9" s="17" t="n">
        <v>603048</v>
      </c>
      <c r="F9" s="17" t="n">
        <v>603048</v>
      </c>
      <c r="G9" s="17" t="n">
        <v>603048</v>
      </c>
      <c r="H9" s="17" t="n">
        <v>603048</v>
      </c>
      <c r="I9" s="17" t="n">
        <v>603048</v>
      </c>
      <c r="J9" s="17" t="n">
        <v>603049</v>
      </c>
      <c r="K9" s="37" t="n">
        <f aca="false">SUM(C9:J9)</f>
        <v>6109939</v>
      </c>
    </row>
    <row r="10" customFormat="false" ht="15" hidden="false" customHeight="true" outlineLevel="0" collapsed="false">
      <c r="A10" s="35" t="s">
        <v>147</v>
      </c>
      <c r="B10" s="36" t="s">
        <v>146</v>
      </c>
      <c r="C10" s="17" t="n">
        <v>823348</v>
      </c>
      <c r="D10" s="17" t="n">
        <v>2260101</v>
      </c>
      <c r="E10" s="17" t="n">
        <v>3629271</v>
      </c>
      <c r="F10" s="17" t="n">
        <v>5008894</v>
      </c>
      <c r="G10" s="17" t="n">
        <v>6470455</v>
      </c>
      <c r="H10" s="17" t="n">
        <v>8084010</v>
      </c>
      <c r="I10" s="17" t="n">
        <v>9922737</v>
      </c>
      <c r="J10" s="17" t="n">
        <v>12067258</v>
      </c>
      <c r="K10" s="37" t="n">
        <f aca="false">SUM(C10:J10)</f>
        <v>48266074</v>
      </c>
    </row>
    <row r="12" customFormat="false" ht="15" hidden="false" customHeight="true" outlineLevel="0" collapsed="false">
      <c r="A12" s="34" t="s">
        <v>148</v>
      </c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</row>
    <row r="13" customFormat="false" ht="15" hidden="false" customHeight="true" outlineLevel="0" collapsed="false">
      <c r="A13" s="38" t="s">
        <v>149</v>
      </c>
      <c r="B13" s="39" t="s">
        <v>146</v>
      </c>
      <c r="C13" s="27"/>
      <c r="D13" s="27"/>
      <c r="E13" s="27"/>
      <c r="F13" s="27"/>
      <c r="G13" s="27"/>
      <c r="H13" s="27"/>
      <c r="I13" s="27"/>
      <c r="J13" s="27"/>
      <c r="K13" s="40"/>
      <c r="L13" s="18" t="s">
        <v>150</v>
      </c>
    </row>
    <row r="14" customFormat="false" ht="21.75" hidden="false" customHeight="true" outlineLevel="0" collapsed="false">
      <c r="A14" s="38" t="s">
        <v>151</v>
      </c>
      <c r="B14" s="39" t="s">
        <v>152</v>
      </c>
      <c r="C14" s="41"/>
      <c r="D14" s="41"/>
      <c r="E14" s="41"/>
      <c r="F14" s="41"/>
      <c r="G14" s="41"/>
      <c r="H14" s="41"/>
      <c r="I14" s="41"/>
      <c r="J14" s="41"/>
      <c r="K14" s="42" t="s">
        <v>152</v>
      </c>
      <c r="L14" s="18" t="s">
        <v>153</v>
      </c>
    </row>
    <row r="15" customFormat="false" ht="15" hidden="false" customHeight="true" outlineLevel="0" collapsed="false">
      <c r="A15" s="38" t="s">
        <v>154</v>
      </c>
      <c r="B15" s="39" t="s">
        <v>146</v>
      </c>
      <c r="C15" s="27"/>
      <c r="D15" s="27"/>
      <c r="E15" s="27"/>
      <c r="F15" s="27"/>
      <c r="G15" s="27"/>
      <c r="H15" s="27"/>
      <c r="I15" s="27"/>
      <c r="J15" s="27"/>
      <c r="K15" s="40"/>
      <c r="L15" s="18" t="s">
        <v>155</v>
      </c>
    </row>
    <row r="16" customFormat="false" ht="15" hidden="false" customHeight="true" outlineLevel="0" collapsed="false">
      <c r="A16" s="38" t="s">
        <v>156</v>
      </c>
      <c r="B16" s="39" t="s">
        <v>146</v>
      </c>
      <c r="C16" s="27"/>
      <c r="D16" s="27"/>
      <c r="E16" s="27"/>
      <c r="F16" s="27"/>
      <c r="G16" s="27"/>
      <c r="H16" s="27"/>
      <c r="I16" s="27"/>
      <c r="J16" s="27"/>
      <c r="K16" s="40"/>
      <c r="L16" s="18" t="s">
        <v>157</v>
      </c>
    </row>
    <row r="17" customFormat="false" ht="15" hidden="false" customHeight="true" outlineLevel="0" collapsed="false">
      <c r="A17" s="38" t="s">
        <v>158</v>
      </c>
      <c r="B17" s="39" t="s">
        <v>146</v>
      </c>
      <c r="C17" s="27"/>
      <c r="D17" s="27"/>
      <c r="E17" s="27"/>
      <c r="F17" s="27"/>
      <c r="G17" s="27"/>
      <c r="H17" s="27"/>
      <c r="I17" s="27"/>
      <c r="J17" s="27"/>
      <c r="K17" s="40"/>
      <c r="L17" s="18" t="s">
        <v>159</v>
      </c>
    </row>
    <row r="18" customFormat="false" ht="21.75" hidden="false" customHeight="true" outlineLevel="0" collapsed="false">
      <c r="A18" s="38" t="s">
        <v>160</v>
      </c>
      <c r="B18" s="39" t="s">
        <v>81</v>
      </c>
      <c r="C18" s="27"/>
      <c r="D18" s="27"/>
      <c r="E18" s="27"/>
      <c r="F18" s="27"/>
      <c r="G18" s="27"/>
      <c r="H18" s="27"/>
      <c r="I18" s="27"/>
      <c r="J18" s="27"/>
      <c r="K18" s="40"/>
      <c r="L18" s="18" t="s">
        <v>161</v>
      </c>
    </row>
  </sheetData>
  <mergeCells count="4">
    <mergeCell ref="A1:L1"/>
    <mergeCell ref="A3:B3"/>
    <mergeCell ref="A8:L8"/>
    <mergeCell ref="A12:L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9"/>
    <col collapsed="false" customWidth="true" hidden="false" outlineLevel="0" max="11" min="3" style="1" width="12"/>
    <col collapsed="false" customWidth="true" hidden="false" outlineLevel="0" max="12" min="12" style="1" width="46"/>
  </cols>
  <sheetData>
    <row r="1" customFormat="false" ht="25.5" hidden="false" customHeight="true" outlineLevel="0" collapsed="false">
      <c r="A1" s="2" t="s">
        <v>162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3" customFormat="false" ht="15" hidden="false" customHeight="true" outlineLevel="0" collapsed="false">
      <c r="A3" s="30" t="s">
        <v>135</v>
      </c>
      <c r="B3" s="30"/>
      <c r="C3" s="31" t="n">
        <v>0.0774</v>
      </c>
    </row>
    <row r="5" customFormat="false" ht="15" hidden="false" customHeight="true" outlineLevel="0" collapsed="false">
      <c r="A5" s="5"/>
      <c r="B5" s="32" t="s">
        <v>23</v>
      </c>
      <c r="D5" s="7"/>
      <c r="E5" s="32" t="s">
        <v>136</v>
      </c>
      <c r="G5" s="8"/>
      <c r="H5" s="32" t="s">
        <v>24</v>
      </c>
    </row>
    <row r="7" customFormat="false" ht="15" hidden="false" customHeight="true" outlineLevel="0" collapsed="false">
      <c r="A7" s="14" t="s">
        <v>26</v>
      </c>
      <c r="B7" s="14" t="s">
        <v>27</v>
      </c>
      <c r="C7" s="33" t="s">
        <v>75</v>
      </c>
      <c r="D7" s="33" t="s">
        <v>76</v>
      </c>
      <c r="E7" s="33" t="s">
        <v>77</v>
      </c>
      <c r="F7" s="33" t="s">
        <v>137</v>
      </c>
      <c r="G7" s="33" t="s">
        <v>138</v>
      </c>
      <c r="H7" s="33" t="s">
        <v>139</v>
      </c>
      <c r="I7" s="33" t="s">
        <v>140</v>
      </c>
      <c r="J7" s="33" t="s">
        <v>141</v>
      </c>
      <c r="K7" s="33" t="s">
        <v>142</v>
      </c>
      <c r="L7" s="33" t="s">
        <v>143</v>
      </c>
    </row>
    <row r="8" customFormat="false" ht="15" hidden="false" customHeight="true" outlineLevel="0" collapsed="false">
      <c r="A8" s="34" t="s">
        <v>144</v>
      </c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</row>
    <row r="9" customFormat="false" ht="15" hidden="false" customHeight="true" outlineLevel="0" collapsed="false">
      <c r="A9" s="35" t="s">
        <v>145</v>
      </c>
      <c r="B9" s="36" t="s">
        <v>146</v>
      </c>
      <c r="C9" s="17" t="n">
        <v>4834425</v>
      </c>
      <c r="D9" s="17" t="n">
        <v>3865884</v>
      </c>
      <c r="E9" s="17" t="n">
        <v>3260546</v>
      </c>
      <c r="F9" s="17" t="n">
        <v>2882210</v>
      </c>
      <c r="G9" s="17" t="n">
        <v>2645750</v>
      </c>
      <c r="H9" s="17" t="n">
        <v>2497963</v>
      </c>
      <c r="I9" s="17" t="n">
        <v>2405595</v>
      </c>
      <c r="J9" s="17" t="n">
        <v>2347866</v>
      </c>
      <c r="K9" s="37" t="n">
        <f aca="false">SUM(C9:J9)</f>
        <v>24740239</v>
      </c>
    </row>
    <row r="10" customFormat="false" ht="15" hidden="false" customHeight="true" outlineLevel="0" collapsed="false">
      <c r="A10" s="35" t="s">
        <v>147</v>
      </c>
      <c r="B10" s="36" t="s">
        <v>146</v>
      </c>
      <c r="C10" s="17" t="n">
        <v>823348</v>
      </c>
      <c r="D10" s="17" t="n">
        <v>4283189</v>
      </c>
      <c r="E10" s="17" t="n">
        <v>6985968</v>
      </c>
      <c r="F10" s="17" t="n">
        <v>9734670</v>
      </c>
      <c r="G10" s="17" t="n">
        <v>12614800</v>
      </c>
      <c r="H10" s="17" t="n">
        <v>15834289</v>
      </c>
      <c r="I10" s="17" t="n">
        <v>19588968</v>
      </c>
      <c r="J10" s="17" t="n">
        <v>24082167</v>
      </c>
      <c r="K10" s="37" t="n">
        <f aca="false">SUM(C10:J10)</f>
        <v>93947399</v>
      </c>
    </row>
    <row r="12" customFormat="false" ht="15" hidden="false" customHeight="true" outlineLevel="0" collapsed="false">
      <c r="A12" s="34" t="s">
        <v>148</v>
      </c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</row>
    <row r="13" customFormat="false" ht="15" hidden="false" customHeight="true" outlineLevel="0" collapsed="false">
      <c r="A13" s="38" t="s">
        <v>149</v>
      </c>
      <c r="B13" s="39" t="s">
        <v>146</v>
      </c>
      <c r="C13" s="27"/>
      <c r="D13" s="27"/>
      <c r="E13" s="27"/>
      <c r="F13" s="27"/>
      <c r="G13" s="27"/>
      <c r="H13" s="27"/>
      <c r="I13" s="27"/>
      <c r="J13" s="27"/>
      <c r="K13" s="40"/>
      <c r="L13" s="18" t="s">
        <v>150</v>
      </c>
    </row>
    <row r="14" customFormat="false" ht="21.75" hidden="false" customHeight="true" outlineLevel="0" collapsed="false">
      <c r="A14" s="38" t="s">
        <v>151</v>
      </c>
      <c r="B14" s="39" t="s">
        <v>152</v>
      </c>
      <c r="C14" s="41"/>
      <c r="D14" s="41"/>
      <c r="E14" s="41"/>
      <c r="F14" s="41"/>
      <c r="G14" s="41"/>
      <c r="H14" s="41"/>
      <c r="I14" s="41"/>
      <c r="J14" s="41"/>
      <c r="K14" s="42" t="s">
        <v>152</v>
      </c>
      <c r="L14" s="18" t="s">
        <v>163</v>
      </c>
    </row>
    <row r="15" customFormat="false" ht="15" hidden="false" customHeight="true" outlineLevel="0" collapsed="false">
      <c r="A15" s="38" t="s">
        <v>154</v>
      </c>
      <c r="B15" s="39" t="s">
        <v>146</v>
      </c>
      <c r="C15" s="27"/>
      <c r="D15" s="27"/>
      <c r="E15" s="27"/>
      <c r="F15" s="27"/>
      <c r="G15" s="27"/>
      <c r="H15" s="27"/>
      <c r="I15" s="27"/>
      <c r="J15" s="27"/>
      <c r="K15" s="40"/>
      <c r="L15" s="18" t="s">
        <v>155</v>
      </c>
    </row>
    <row r="16" customFormat="false" ht="15" hidden="false" customHeight="true" outlineLevel="0" collapsed="false">
      <c r="A16" s="38" t="s">
        <v>156</v>
      </c>
      <c r="B16" s="39" t="s">
        <v>146</v>
      </c>
      <c r="C16" s="27"/>
      <c r="D16" s="27"/>
      <c r="E16" s="27"/>
      <c r="F16" s="27"/>
      <c r="G16" s="27"/>
      <c r="H16" s="27"/>
      <c r="I16" s="27"/>
      <c r="J16" s="27"/>
      <c r="K16" s="40"/>
      <c r="L16" s="18" t="s">
        <v>157</v>
      </c>
    </row>
    <row r="17" customFormat="false" ht="15" hidden="false" customHeight="true" outlineLevel="0" collapsed="false">
      <c r="A17" s="38" t="s">
        <v>158</v>
      </c>
      <c r="B17" s="39" t="s">
        <v>146</v>
      </c>
      <c r="C17" s="27"/>
      <c r="D17" s="27"/>
      <c r="E17" s="27"/>
      <c r="F17" s="27"/>
      <c r="G17" s="27"/>
      <c r="H17" s="27"/>
      <c r="I17" s="27"/>
      <c r="J17" s="27"/>
      <c r="K17" s="40"/>
      <c r="L17" s="18" t="s">
        <v>159</v>
      </c>
    </row>
    <row r="18" customFormat="false" ht="21.75" hidden="false" customHeight="true" outlineLevel="0" collapsed="false">
      <c r="A18" s="38" t="s">
        <v>160</v>
      </c>
      <c r="B18" s="39" t="s">
        <v>81</v>
      </c>
      <c r="C18" s="27"/>
      <c r="D18" s="27"/>
      <c r="E18" s="27"/>
      <c r="F18" s="27"/>
      <c r="G18" s="27"/>
      <c r="H18" s="27"/>
      <c r="I18" s="27"/>
      <c r="J18" s="27"/>
      <c r="K18" s="40"/>
      <c r="L18" s="18" t="s">
        <v>161</v>
      </c>
    </row>
  </sheetData>
  <mergeCells count="4">
    <mergeCell ref="A1:L1"/>
    <mergeCell ref="A3:B3"/>
    <mergeCell ref="A8:L8"/>
    <mergeCell ref="A12:L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3" min="2" style="1" width="20"/>
    <col collapsed="false" customWidth="true" hidden="false" outlineLevel="0" max="4" min="4" style="1" width="46"/>
  </cols>
  <sheetData>
    <row r="1" customFormat="false" ht="25.5" hidden="false" customHeight="true" outlineLevel="0" collapsed="false">
      <c r="A1" s="2" t="s">
        <v>164</v>
      </c>
      <c r="B1" s="2"/>
      <c r="C1" s="2"/>
      <c r="D1" s="2"/>
    </row>
    <row r="3" customFormat="false" ht="15" hidden="false" customHeight="true" outlineLevel="0" collapsed="false">
      <c r="B3" s="8"/>
      <c r="C3" s="32" t="s">
        <v>165</v>
      </c>
    </row>
    <row r="5" customFormat="false" ht="15" hidden="false" customHeight="true" outlineLevel="0" collapsed="false">
      <c r="A5" s="14" t="s">
        <v>166</v>
      </c>
      <c r="B5" s="33" t="s">
        <v>167</v>
      </c>
      <c r="C5" s="33" t="s">
        <v>168</v>
      </c>
      <c r="D5" s="33" t="s">
        <v>169</v>
      </c>
    </row>
    <row r="6" customFormat="false" ht="15" hidden="false" customHeight="true" outlineLevel="0" collapsed="false">
      <c r="A6" s="38" t="s">
        <v>170</v>
      </c>
      <c r="B6" s="43"/>
      <c r="C6" s="43"/>
      <c r="D6" s="18" t="s">
        <v>171</v>
      </c>
    </row>
    <row r="7" customFormat="false" ht="21.75" hidden="false" customHeight="true" outlineLevel="0" collapsed="false">
      <c r="A7" s="38" t="s">
        <v>172</v>
      </c>
      <c r="B7" s="43"/>
      <c r="C7" s="43"/>
      <c r="D7" s="18" t="s">
        <v>173</v>
      </c>
    </row>
    <row r="8" customFormat="false" ht="15" hidden="false" customHeight="true" outlineLevel="0" collapsed="false">
      <c r="A8" s="38" t="s">
        <v>174</v>
      </c>
      <c r="B8" s="43"/>
      <c r="C8" s="43"/>
      <c r="D8" s="18" t="s">
        <v>175</v>
      </c>
    </row>
    <row r="9" customFormat="false" ht="15" hidden="false" customHeight="true" outlineLevel="0" collapsed="false">
      <c r="A9" s="38" t="s">
        <v>176</v>
      </c>
      <c r="B9" s="43"/>
      <c r="C9" s="43"/>
      <c r="D9" s="18" t="s">
        <v>177</v>
      </c>
    </row>
    <row r="10" customFormat="false" ht="15" hidden="false" customHeight="true" outlineLevel="0" collapsed="false">
      <c r="A10" s="38" t="s">
        <v>178</v>
      </c>
      <c r="B10" s="43"/>
      <c r="C10" s="43"/>
      <c r="D10" s="18" t="s">
        <v>179</v>
      </c>
    </row>
    <row r="11" customFormat="false" ht="15" hidden="false" customHeight="true" outlineLevel="0" collapsed="false">
      <c r="A11" s="38" t="s">
        <v>180</v>
      </c>
      <c r="B11" s="44"/>
      <c r="C11" s="44"/>
      <c r="D11" s="18" t="s">
        <v>181</v>
      </c>
    </row>
    <row r="13" customFormat="false" ht="15" hidden="false" customHeight="true" outlineLevel="0" collapsed="false">
      <c r="A13" s="34" t="s">
        <v>182</v>
      </c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</row>
    <row r="14" customFormat="false" ht="30" hidden="false" customHeight="true" outlineLevel="0" collapsed="false">
      <c r="A14" s="45" t="s">
        <v>183</v>
      </c>
      <c r="B14" s="46"/>
    </row>
    <row r="15" customFormat="false" ht="30" hidden="false" customHeight="true" outlineLevel="0" collapsed="false">
      <c r="A15" s="45" t="s">
        <v>184</v>
      </c>
      <c r="B15" s="46"/>
    </row>
  </sheetData>
  <mergeCells count="2">
    <mergeCell ref="A1:D1"/>
    <mergeCell ref="A13:L13"/>
  </mergeCells>
  <dataValidations count="2">
    <dataValidation allowBlank="true" errorStyle="stop" operator="between" showDropDown="false" showErrorMessage="false" showInputMessage="false" sqref="B14" type="list">
      <formula1>"Vaccination,Test-and-Slaughter"</formula1>
      <formula2>0</formula2>
    </dataValidation>
    <dataValidation allowBlank="true" errorStyle="stop" operator="between" showDropDown="false" showErrorMessage="false" showInputMessage="false" sqref="B15" type="list">
      <formula1>"Vaccination,Test-and-Slaughter"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2026-09-16T05:00:31Z</dcterms:created>
  <dc:creator>openpyxl</dc:creator>
  <dc:description/>
  <dc:language>en-US</dc:language>
  <cp:lastModifiedBy/>
  <dcterms:modified xsi:type="dcterms:W3CDTF">2026-09-28T05:35:02Z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