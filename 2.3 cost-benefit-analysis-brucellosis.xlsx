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trategy A - Vaccination" sheetId="2" state="visible" r:id="rId4"/>
    <sheet name="Strategy B - Test-and-Slaughter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<sst xmlns="http://schemas.openxmlformats.org/spreadsheetml/2006/main" count="126" uniqueCount="80">
  <si>
    <t xml:space="preserve">Brucellosis Control Cost-Benefit Analysis — Student Worksheet</t>
  </si>
  <si>
    <t xml:space="preserve">Purpose</t>
  </si>
  <si>
    <t xml:space="preserve">This worksheet is the Excel version of the brucellosis control cost-benefit exercise: comparing a vaccination program against a test-and-slaughter program for controlling B. melitensis in sheep and goats, over an 8-year period. Use it if you prefer to calculate in a spreadsheet instead of (or alongside) the interactive web version.</t>
  </si>
  <si>
    <t xml:space="preserve">How to use this worksheet</t>
  </si>
  <si>
    <t xml:space="preserve">1. Go to the "Strategy A - Vaccination" sheet. Blue cells are given data (Total annual cost and Total annual benefit) — do not change them.</t>
  </si>
  <si>
    <t xml:space="preserve">2. The gold cell is the interest rate (r), already set at 7.74% for discounting.</t>
  </si>
  <si>
    <t xml:space="preserve">3. Yellow cells are for you to fill in: Net value, discount factor, discounted cost, discounted benefit, NPV per year, and cumulative NPV. Column L gives a hint for each row — you can type a value or write your own Excel formula.</t>
  </si>
  <si>
    <t xml:space="preserve">4. Repeat the same steps on the "Strategy B - Test-and-Slaughter" sheet.</t>
  </si>
  <si>
    <t xml:space="preserve">5. On the "Summary" sheet, fill in the six comparison metrics for both strategies, then answer the two decision questions using the dropdowns.</t>
  </si>
  <si>
    <t xml:space="preserve">Colour guide</t>
  </si>
  <si>
    <t xml:space="preserve">Blue cell — given data. These are the numbers you need; do not edit them.</t>
  </si>
  <si>
    <t xml:space="preserve">Gold cell — key assumption (the interest rate). Already set for you.</t>
  </si>
  <si>
    <t xml:space="preserve">Yellow cell — your answer. Calculate the value and enter it here.</t>
  </si>
  <si>
    <t xml:space="preserve">Key terms</t>
  </si>
  <si>
    <t xml:space="preserve">Total annual cost / benefit — The program’s actual costs and benefits each year, as reported in the source study.</t>
  </si>
  <si>
    <t xml:space="preserve">Interest rate (r) — Reflects the time value of money; used to discount future years back to today. Here, r = 7.74% (Bosnia and Herzegovina’s average long-term commercial lending rate in 2009).</t>
  </si>
  <si>
    <t xml:space="preserve">Discount factor — 1 ÷ (1 + r)^t, where t = year number − 1 (so Year 1 has t = 0, undiscounted).</t>
  </si>
  <si>
    <t xml:space="preserve">Net Present Value (NPV) — The value of the strategy in today’s money. Positive NPV means discounted benefits exceed discounted costs.</t>
  </si>
  <si>
    <t xml:space="preserve">Cost-Benefit Ratio (BCR) — Total discounted benefit ÷ total discounted cost. Above 1.0 means the strategy pays off.</t>
  </si>
  <si>
    <t xml:space="preserve">Source</t>
  </si>
  <si>
    <t xml:space="preserve">Hadzovic, D., Fejzic, N., Seric-Haracic, S., van Asseldonk, M., &amp; Bergevoet, R.H.M. (2025). Cost-benefit analysis of the small ruminants vaccination program against brucellosis (B. melitensis) in Bosnia and Herzegovina. Acta Veterinaria Eurasia, 51, 0082.</t>
  </si>
  <si>
    <t xml:space="preserve">Strategy A - Vaccination</t>
  </si>
  <si>
    <t xml:space="preserve">Interest rate used for discounting (r):</t>
  </si>
  <si>
    <t xml:space="preserve">Given data</t>
  </si>
  <si>
    <t xml:space="preserve">Key assumption</t>
  </si>
  <si>
    <t xml:space="preserve">Your answer</t>
  </si>
  <si>
    <t xml:space="preserve">Item</t>
  </si>
  <si>
    <t xml:space="preserve">Unit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</si>
  <si>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</si>
  <si>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</si>
  <si>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</si>
  <si>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</si>
  <si>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</si>
  <si>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</si>
  <si>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</si>
  <si>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</si>
  <si>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Total</t>
  </si>
  <si>
    <t xml:space="preserve">Hint (how to calculate)</t>
  </si>
  <si>
    <t xml:space="preserve">1.  GIVEN DATA (EUR)</t>
  </si>
  <si>
    <t xml:space="preserve">Total annual cost</t>
  </si>
  <si>
    <t xml:space="preserve">EUR/yr</t>
  </si>
  <si>
    <t xml:space="preserve">Total annual benefit</t>
  </si>
  <si>
    <t xml:space="preserve">2.  NET VALUE &amp; DISCOUNTED CASH FLOW (EUR)</t>
  </si>
  <si>
    <t xml:space="preserve">Net value (undiscounted)</t>
  </si>
  <si>
    <t xml:space="preserve">Total annual benefit − total annual cost.</t>
  </si>
  <si>
    <t xml:space="preserve">Discount factor (r = 7.74%)</t>
  </si>
  <si>
    <t xml:space="preserve">—</t>
  </si>
  <si>
    <t xml:space="preserve">1 ÷ (1 + r)^t, using the rate in 'Strategy A - Vaccination'!$C$3. t = year number − 1. No total for this row.</t>
  </si>
  <si>
    <t xml:space="preserve">Discounted cost</t>
  </si>
  <si>
    <t xml:space="preserve">Total annual cost × discount factor.</t>
  </si>
  <si>
    <t xml:space="preserve">Discounted benefit</t>
  </si>
  <si>
    <t xml:space="preserve">Total annual benefit × discount factor.</t>
  </si>
  <si>
    <t xml:space="preserve">Net present value (per year)</t>
  </si>
  <si>
    <t xml:space="preserve">Discounted benefit − discounted cost.</t>
  </si>
  <si>
    <t xml:space="preserve">Cumulative NPV</t>
  </si>
  <si>
    <t xml:space="preserve">EUR</t>
  </si>
  <si>
    <t xml:space="preserve">Running sum of NPV per year. Total should match the final year’s cumulative value.</t>
  </si>
  <si>
    <t xml:space="preserve">Strategy B - Test-and-Slaughter</t>
  </si>
  <si>
    <t xml:space="preserve">1 ÷ (1 + r)^t, using the rate in 'Strategy B - Test-and-Slaughter'!$C$3. t = year number − 1. No total for this row.</t>
  </si>
  <si>
    <t xml:space="preserve">Summary: Compare the Two Strategies</t>
  </si>
  <si>
    <t xml:space="preserve">Yellow cell = your answer</t>
  </si>
  <si>
    <t xml:space="preserve">Metric</t>
  </si>
  <si>
    <t xml:space="preserve">Vaccination</t>
  </si>
  <si>
    <t xml:space="preserve">Test-and-Slaughter</t>
  </si>
  <si>
    <t xml:space="preserve">Hint</t>
  </si>
  <si>
    <t xml:space="preserve">Total cost (undiscounted, 8-yr)</t>
  </si>
  <si>
    <t xml:space="preserve">Total column, Total annual cost row on each strategy's sheet.</t>
  </si>
  <si>
    <t xml:space="preserve">Total benefit (undiscounted, 8-yr)</t>
  </si>
  <si>
    <t xml:space="preserve">Total column, Total annual benefit row on each strategy's sheet.</t>
  </si>
  <si>
    <t xml:space="preserve">Total discounted cost</t>
  </si>
  <si>
    <t xml:space="preserve">Total column, Discounted cost row.</t>
  </si>
  <si>
    <t xml:space="preserve">Total discounted benefit</t>
  </si>
  <si>
    <t xml:space="preserve">Total column, Discounted benefit row.</t>
  </si>
  <si>
    <t xml:space="preserve">Net present value – NPV</t>
  </si>
  <si>
    <t xml:space="preserve">Sum of NPV per year (= final cumulative NPV).</t>
  </si>
  <si>
    <t xml:space="preserve">Cost-benefit ratio – BCR</t>
  </si>
  <si>
    <t xml:space="preserve">Total discounted benefit ÷ total discounted cost.</t>
  </si>
  <si>
    <t xml:space="preserve">3.  DECISION</t>
  </si>
  <si>
    <t xml:space="preserve">Q1. Limited budget — which strategy offers better value for money?</t>
  </si>
  <si>
    <t xml:space="preserve">Q2. No budget constraint — which strategy gives the largest NPV?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</si>
</sst>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#,##0"/>
    <numFmt numFmtId="167" formatCode="0.0000"/>
    <numFmt numFmtId="168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BF6EC"/>
      <name val="Arial"/>
      <family val="0"/>
      <charset val="1"/>
    </font>
    <font>
      <b val="true"/>
      <sz val="12"/>
      <color rgb="FF4E1F1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7A6F5E"/>
      <name val="Arial"/>
      <family val="0"/>
      <charset val="1"/>
    </font>
    <font>
      <b val="true"/>
      <sz val="10"/>
      <color rgb="FFFBF6EC"/>
      <name val="Arial"/>
      <family val="0"/>
      <charset val="1"/>
    </font>
    <font>
      <b val="true"/>
      <sz val="11"/>
      <color rgb="FF4E1F19"/>
      <name val="Arial"/>
      <family val="0"/>
      <charset val="1"/>
    </font>
    <font>
      <i val="true"/>
      <sz val="9"/>
      <color rgb="FF7A6F5E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6B2B23"/>
        <bgColor rgb="FF4E1F19"/>
      </patternFill>
    </fill>
    <fill>
      <patternFill patternType="solid">
        <fgColor rgb="FFDCE6F1"/>
        <bgColor rgb="FFF1EDE4"/>
      </patternFill>
    </fill>
    <fill>
      <patternFill patternType="solid">
        <fgColor rgb="FFFCE4B4"/>
        <bgColor rgb="FFF1E9D8"/>
      </patternFill>
    </fill>
    <fill>
      <patternFill patternType="solid">
        <fgColor rgb="FFFFF9C4"/>
        <bgColor rgb="FFFBF6EC"/>
      </patternFill>
    </fill>
    <fill>
      <patternFill patternType="solid">
        <fgColor rgb="FFF1E9D8"/>
        <bgColor rgb="FFF1EDE4"/>
      </patternFill>
    </fill>
    <fill>
      <patternFill patternType="solid">
        <fgColor rgb="FFF1EDE4"/>
        <bgColor rgb="FFF1E9D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5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0" fillId="5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BF6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F5E"/>
      <rgbColor rgb="FF9999FF"/>
      <rgbColor rgb="FF993366"/>
      <rgbColor rgb="FFFFF9C4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1EDE4"/>
      <rgbColor rgb="FFF1E9D8"/>
      <rgbColor rgb="FF99CCFF"/>
      <rgbColor rgb="FFFF99CC"/>
      <rgbColor rgb="FFCC99FF"/>
      <rgbColor rgb="FFFCE4B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E1F19"/>
      <rgbColor rgb="FF6B2B2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27.75" hidden="false" customHeight="true" outlineLevel="0" collapsed="false">
      <c r="A1" s="1" t="s">
        <v>0</v>
      </c>
      <c r="B1" s="1"/>
    </row>
    <row r="3" customFormat="false" ht="15" hidden="false" customHeight="false" outlineLevel="0" collapsed="false">
      <c r="B3" s="2" t="s">
        <v>1</v>
      </c>
    </row>
    <row r="4" customFormat="false" ht="35.05" hidden="false" customHeight="false" outlineLevel="0" collapsed="false">
      <c r="B4" s="3" t="s">
        <v>2</v>
      </c>
    </row>
    <row r="6" customFormat="false" ht="15" hidden="false" customHeight="false" outlineLevel="0" collapsed="false">
      <c r="B6" s="2" t="s">
        <v>3</v>
      </c>
    </row>
    <row r="7" customFormat="false" ht="23.85" hidden="false" customHeight="false" outlineLevel="0" collapsed="false">
      <c r="B7" s="3" t="s">
        <v>4</v>
      </c>
    </row>
    <row r="8" customFormat="false" ht="15" hidden="false" customHeight="false" outlineLevel="0" collapsed="false">
      <c r="B8" s="3" t="s">
        <v>5</v>
      </c>
    </row>
    <row r="9" customFormat="false" ht="23.8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3" t="s">
        <v>7</v>
      </c>
    </row>
    <row r="11" customFormat="false" ht="23.85" hidden="false" customHeight="false" outlineLevel="0" collapsed="false">
      <c r="B11" s="3" t="s">
        <v>8</v>
      </c>
    </row>
    <row r="13" customFormat="false" ht="15" hidden="false" customHeight="false" outlineLevel="0" collapsed="false">
      <c r="B13" s="2" t="s">
        <v>9</v>
      </c>
    </row>
    <row r="14" customFormat="false" ht="15" hidden="false" customHeight="false" outlineLevel="0" collapsed="false">
      <c r="A14" s="4"/>
      <c r="B14" s="5" t="s">
        <v>10</v>
      </c>
    </row>
    <row r="15" customFormat="false" ht="15" hidden="false" customHeight="false" outlineLevel="0" collapsed="false">
      <c r="A15" s="6"/>
      <c r="B15" s="5" t="s">
        <v>11</v>
      </c>
    </row>
    <row r="16" customFormat="false" ht="15" hidden="false" customHeight="false" outlineLevel="0" collapsed="false">
      <c r="A16" s="7"/>
      <c r="B16" s="5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3" t="s">
        <v>14</v>
      </c>
    </row>
    <row r="20" customFormat="false" ht="23.85" hidden="false" customHeight="false" outlineLevel="0" collapsed="false">
      <c r="B20" s="3" t="s">
        <v>15</v>
      </c>
    </row>
    <row r="21" customFormat="false" ht="15" hidden="false" customHeight="false" outlineLevel="0" collapsed="false">
      <c r="B21" s="3" t="s">
        <v>16</v>
      </c>
    </row>
    <row r="22" customFormat="false" ht="23.85" hidden="false" customHeight="false" outlineLevel="0" collapsed="false">
      <c r="B22" s="3" t="s">
        <v>17</v>
      </c>
    </row>
    <row r="23" customFormat="false" ht="15" hidden="false" customHeight="false" outlineLevel="0" collapsed="false">
      <c r="B23" s="3" t="s">
        <v>18</v>
      </c>
    </row>
    <row r="25" customFormat="false" ht="15" hidden="false" customHeight="false" outlineLevel="0" collapsed="false">
      <c r="B25" s="2" t="s">
        <v>19</v>
      </c>
    </row>
    <row r="26" customFormat="false" ht="35.05" hidden="false" customHeight="false" outlineLevel="0" collapsed="false">
      <c r="B26" s="3" t="s">
        <v>20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11" min="3" style="0" width="12"/>
    <col collapsed="false" customWidth="true" hidden="false" outlineLevel="0" max="12" min="12" style="0" width="46"/>
  </cols>
  <sheetData>
    <row r="1" customFormat="false" ht="25.5" hidden="false" customHeight="true" outlineLevel="0" collapsed="false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false" outlineLevel="0" collapsed="false">
      <c r="A3" s="8" t="s">
        <v>22</v>
      </c>
      <c r="B3" s="8"/>
      <c r="C3" s="9" t="n">
        <v>0.0774</v>
      </c>
    </row>
    <row r="5" customFormat="false" ht="15" hidden="false" customHeight="false" outlineLevel="0" collapsed="false">
      <c r="A5" s="4"/>
      <c r="B5" s="10" t="s">
        <v>23</v>
      </c>
      <c r="D5" s="6"/>
      <c r="E5" s="10" t="s">
        <v>24</v>
      </c>
      <c r="G5" s="7"/>
      <c r="H5" s="10" t="s">
        <v>25</v>
      </c>
    </row>
    <row r="7" customFormat="false" ht="15" hidden="false" customHeight="false" outlineLevel="0" collapsed="false">
      <c r="A7" s="11" t="s">
        <v>26</v>
      </c>
      <c r="B7" s="11" t="s">
        <v>27</v>
      </c>
      <c r="C7" s="12" t="s">
        <v>28</v>
      </c>
      <c r="D7" s="12" t="s">
        <v>29</v>
      </c>
      <c r="E7" s="12" t="s">
        <v>30</v>
      </c>
      <c r="F7" s="12" t="s">
        <v>31</v>
      </c>
      <c r="G7" s="12" t="s">
        <v>32</v>
      </c>
      <c r="H7" s="12" t="s">
        <v>33</v>
      </c>
      <c r="I7" s="12" t="s">
        <v>34</v>
      </c>
      <c r="J7" s="12" t="s">
        <v>35</v>
      </c>
      <c r="K7" s="12" t="s">
        <v>36</v>
      </c>
      <c r="L7" s="12" t="s">
        <v>37</v>
      </c>
    </row>
    <row r="8" customFormat="false" ht="15" hidden="false" customHeight="false" outlineLevel="0" collapsed="false">
      <c r="A8" s="13" t="s">
        <v>38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customFormat="false" ht="15" hidden="false" customHeight="false" outlineLevel="0" collapsed="false">
      <c r="A9" s="14" t="s">
        <v>39</v>
      </c>
      <c r="B9" s="15" t="s">
        <v>40</v>
      </c>
      <c r="C9" s="16" t="n">
        <v>1835602</v>
      </c>
      <c r="D9" s="16" t="n">
        <v>656048</v>
      </c>
      <c r="E9" s="16" t="n">
        <v>603048</v>
      </c>
      <c r="F9" s="16" t="n">
        <v>603048</v>
      </c>
      <c r="G9" s="16" t="n">
        <v>603048</v>
      </c>
      <c r="H9" s="16" t="n">
        <v>603048</v>
      </c>
      <c r="I9" s="16" t="n">
        <v>603048</v>
      </c>
      <c r="J9" s="16" t="n">
        <v>603049</v>
      </c>
      <c r="K9" s="17" t="n">
        <f aca="false">SUM(C9:J9)</f>
        <v>6109939</v>
      </c>
    </row>
    <row r="10" customFormat="false" ht="15" hidden="false" customHeight="false" outlineLevel="0" collapsed="false">
      <c r="A10" s="14" t="s">
        <v>41</v>
      </c>
      <c r="B10" s="15" t="s">
        <v>40</v>
      </c>
      <c r="C10" s="16" t="n">
        <v>823348</v>
      </c>
      <c r="D10" s="16" t="n">
        <v>2260101</v>
      </c>
      <c r="E10" s="16" t="n">
        <v>3629271</v>
      </c>
      <c r="F10" s="16" t="n">
        <v>5008894</v>
      </c>
      <c r="G10" s="16" t="n">
        <v>6470455</v>
      </c>
      <c r="H10" s="16" t="n">
        <v>8084010</v>
      </c>
      <c r="I10" s="16" t="n">
        <v>9922737</v>
      </c>
      <c r="J10" s="16" t="n">
        <v>12067258</v>
      </c>
      <c r="K10" s="17" t="n">
        <f aca="false">SUM(C10:J10)</f>
        <v>48266074</v>
      </c>
    </row>
    <row r="12" customFormat="false" ht="15" hidden="false" customHeight="false" outlineLevel="0" collapsed="false">
      <c r="A12" s="13" t="s">
        <v>42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customFormat="false" ht="15" hidden="false" customHeight="false" outlineLevel="0" collapsed="false">
      <c r="A13" s="18" t="s">
        <v>43</v>
      </c>
      <c r="B13" s="19" t="s">
        <v>40</v>
      </c>
      <c r="C13" s="20"/>
      <c r="D13" s="20"/>
      <c r="E13" s="20"/>
      <c r="F13" s="20"/>
      <c r="G13" s="20"/>
      <c r="H13" s="20"/>
      <c r="I13" s="20"/>
      <c r="J13" s="20"/>
      <c r="K13" s="21"/>
      <c r="L13" s="22" t="s">
        <v>44</v>
      </c>
    </row>
    <row r="14" customFormat="false" ht="22.35" hidden="false" customHeight="false" outlineLevel="0" collapsed="false">
      <c r="A14" s="18" t="s">
        <v>45</v>
      </c>
      <c r="B14" s="19" t="s">
        <v>46</v>
      </c>
      <c r="C14" s="23"/>
      <c r="D14" s="23"/>
      <c r="E14" s="23"/>
      <c r="F14" s="23"/>
      <c r="G14" s="23"/>
      <c r="H14" s="23"/>
      <c r="I14" s="23"/>
      <c r="J14" s="23"/>
      <c r="K14" s="24" t="s">
        <v>46</v>
      </c>
      <c r="L14" s="22" t="s">
        <v>47</v>
      </c>
    </row>
    <row r="15" customFormat="false" ht="15" hidden="false" customHeight="false" outlineLevel="0" collapsed="false">
      <c r="A15" s="18" t="s">
        <v>48</v>
      </c>
      <c r="B15" s="19" t="s">
        <v>40</v>
      </c>
      <c r="C15" s="20"/>
      <c r="D15" s="20"/>
      <c r="E15" s="20"/>
      <c r="F15" s="20"/>
      <c r="G15" s="20"/>
      <c r="H15" s="20"/>
      <c r="I15" s="20"/>
      <c r="J15" s="20"/>
      <c r="K15" s="21"/>
      <c r="L15" s="22" t="s">
        <v>49</v>
      </c>
    </row>
    <row r="16" customFormat="false" ht="15" hidden="false" customHeight="false" outlineLevel="0" collapsed="false">
      <c r="A16" s="18" t="s">
        <v>50</v>
      </c>
      <c r="B16" s="19" t="s">
        <v>40</v>
      </c>
      <c r="C16" s="20"/>
      <c r="D16" s="20"/>
      <c r="E16" s="20"/>
      <c r="F16" s="20"/>
      <c r="G16" s="20"/>
      <c r="H16" s="20"/>
      <c r="I16" s="20"/>
      <c r="J16" s="20"/>
      <c r="K16" s="21"/>
      <c r="L16" s="22" t="s">
        <v>51</v>
      </c>
    </row>
    <row r="17" customFormat="false" ht="15" hidden="false" customHeight="false" outlineLevel="0" collapsed="false">
      <c r="A17" s="18" t="s">
        <v>52</v>
      </c>
      <c r="B17" s="19" t="s">
        <v>40</v>
      </c>
      <c r="C17" s="20"/>
      <c r="D17" s="20"/>
      <c r="E17" s="20"/>
      <c r="F17" s="20"/>
      <c r="G17" s="20"/>
      <c r="H17" s="20"/>
      <c r="I17" s="20"/>
      <c r="J17" s="20"/>
      <c r="K17" s="21"/>
      <c r="L17" s="22" t="s">
        <v>53</v>
      </c>
    </row>
    <row r="18" customFormat="false" ht="22.35" hidden="false" customHeight="false" outlineLevel="0" collapsed="false">
      <c r="A18" s="18" t="s">
        <v>54</v>
      </c>
      <c r="B18" s="19" t="s">
        <v>55</v>
      </c>
      <c r="C18" s="20"/>
      <c r="D18" s="20"/>
      <c r="E18" s="20"/>
      <c r="F18" s="20"/>
      <c r="G18" s="20"/>
      <c r="H18" s="20"/>
      <c r="I18" s="20"/>
      <c r="J18" s="20"/>
      <c r="K18" s="21"/>
      <c r="L18" s="22" t="s">
        <v>56</v>
      </c>
    </row>
  </sheetData>
  <mergeCells count="4">
    <mergeCell ref="A1:L1"/>
    <mergeCell ref="A3:B3"/>
    <mergeCell ref="A8:L8"/>
    <mergeCell ref="A12:L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11" min="3" style="0" width="12"/>
    <col collapsed="false" customWidth="true" hidden="false" outlineLevel="0" max="12" min="12" style="0" width="46"/>
  </cols>
  <sheetData>
    <row r="1" customFormat="false" ht="25.5" hidden="false" customHeight="true" outlineLevel="0" collapsed="false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false" outlineLevel="0" collapsed="false">
      <c r="A3" s="8" t="s">
        <v>22</v>
      </c>
      <c r="B3" s="8"/>
      <c r="C3" s="9" t="n">
        <v>0.0774</v>
      </c>
    </row>
    <row r="5" customFormat="false" ht="15" hidden="false" customHeight="false" outlineLevel="0" collapsed="false">
      <c r="A5" s="4"/>
      <c r="B5" s="10" t="s">
        <v>23</v>
      </c>
      <c r="D5" s="6"/>
      <c r="E5" s="10" t="s">
        <v>24</v>
      </c>
      <c r="G5" s="7"/>
      <c r="H5" s="10" t="s">
        <v>25</v>
      </c>
    </row>
    <row r="7" customFormat="false" ht="15" hidden="false" customHeight="false" outlineLevel="0" collapsed="false">
      <c r="A7" s="11" t="s">
        <v>26</v>
      </c>
      <c r="B7" s="11" t="s">
        <v>27</v>
      </c>
      <c r="C7" s="12" t="s">
        <v>28</v>
      </c>
      <c r="D7" s="12" t="s">
        <v>29</v>
      </c>
      <c r="E7" s="12" t="s">
        <v>30</v>
      </c>
      <c r="F7" s="12" t="s">
        <v>31</v>
      </c>
      <c r="G7" s="12" t="s">
        <v>32</v>
      </c>
      <c r="H7" s="12" t="s">
        <v>33</v>
      </c>
      <c r="I7" s="12" t="s">
        <v>34</v>
      </c>
      <c r="J7" s="12" t="s">
        <v>35</v>
      </c>
      <c r="K7" s="12" t="s">
        <v>36</v>
      </c>
      <c r="L7" s="12" t="s">
        <v>37</v>
      </c>
    </row>
    <row r="8" customFormat="false" ht="15" hidden="false" customHeight="false" outlineLevel="0" collapsed="false">
      <c r="A8" s="13" t="s">
        <v>38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customFormat="false" ht="15" hidden="false" customHeight="false" outlineLevel="0" collapsed="false">
      <c r="A9" s="14" t="s">
        <v>39</v>
      </c>
      <c r="B9" s="15" t="s">
        <v>40</v>
      </c>
      <c r="C9" s="16" t="n">
        <v>4834425</v>
      </c>
      <c r="D9" s="16" t="n">
        <v>3865884</v>
      </c>
      <c r="E9" s="16" t="n">
        <v>3260546</v>
      </c>
      <c r="F9" s="16" t="n">
        <v>2882210</v>
      </c>
      <c r="G9" s="16" t="n">
        <v>2645750</v>
      </c>
      <c r="H9" s="16" t="n">
        <v>2497963</v>
      </c>
      <c r="I9" s="16" t="n">
        <v>2405595</v>
      </c>
      <c r="J9" s="16" t="n">
        <v>2347866</v>
      </c>
      <c r="K9" s="17" t="n">
        <f aca="false">SUM(C9:J9)</f>
        <v>24740239</v>
      </c>
    </row>
    <row r="10" customFormat="false" ht="15" hidden="false" customHeight="false" outlineLevel="0" collapsed="false">
      <c r="A10" s="14" t="s">
        <v>41</v>
      </c>
      <c r="B10" s="15" t="s">
        <v>40</v>
      </c>
      <c r="C10" s="16" t="n">
        <v>823348</v>
      </c>
      <c r="D10" s="16" t="n">
        <v>4283189</v>
      </c>
      <c r="E10" s="16" t="n">
        <v>6985968</v>
      </c>
      <c r="F10" s="16" t="n">
        <v>9734670</v>
      </c>
      <c r="G10" s="16" t="n">
        <v>12614800</v>
      </c>
      <c r="H10" s="16" t="n">
        <v>15834289</v>
      </c>
      <c r="I10" s="16" t="n">
        <v>19588968</v>
      </c>
      <c r="J10" s="16" t="n">
        <v>24082167</v>
      </c>
      <c r="K10" s="17" t="n">
        <f aca="false">SUM(C10:J10)</f>
        <v>93947399</v>
      </c>
    </row>
    <row r="12" customFormat="false" ht="15" hidden="false" customHeight="false" outlineLevel="0" collapsed="false">
      <c r="A12" s="13" t="s">
        <v>42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customFormat="false" ht="15" hidden="false" customHeight="false" outlineLevel="0" collapsed="false">
      <c r="A13" s="18" t="s">
        <v>43</v>
      </c>
      <c r="B13" s="19" t="s">
        <v>40</v>
      </c>
      <c r="C13" s="20"/>
      <c r="D13" s="20"/>
      <c r="E13" s="20"/>
      <c r="F13" s="20"/>
      <c r="G13" s="20"/>
      <c r="H13" s="20"/>
      <c r="I13" s="20"/>
      <c r="J13" s="20"/>
      <c r="K13" s="21"/>
      <c r="L13" s="22" t="s">
        <v>44</v>
      </c>
    </row>
    <row r="14" customFormat="false" ht="22.35" hidden="false" customHeight="false" outlineLevel="0" collapsed="false">
      <c r="A14" s="18" t="s">
        <v>45</v>
      </c>
      <c r="B14" s="19" t="s">
        <v>46</v>
      </c>
      <c r="C14" s="23"/>
      <c r="D14" s="23"/>
      <c r="E14" s="23"/>
      <c r="F14" s="23"/>
      <c r="G14" s="23"/>
      <c r="H14" s="23"/>
      <c r="I14" s="23"/>
      <c r="J14" s="23"/>
      <c r="K14" s="24" t="s">
        <v>46</v>
      </c>
      <c r="L14" s="22" t="s">
        <v>58</v>
      </c>
    </row>
    <row r="15" customFormat="false" ht="15" hidden="false" customHeight="false" outlineLevel="0" collapsed="false">
      <c r="A15" s="18" t="s">
        <v>48</v>
      </c>
      <c r="B15" s="19" t="s">
        <v>40</v>
      </c>
      <c r="C15" s="20"/>
      <c r="D15" s="20"/>
      <c r="E15" s="20"/>
      <c r="F15" s="20"/>
      <c r="G15" s="20"/>
      <c r="H15" s="20"/>
      <c r="I15" s="20"/>
      <c r="J15" s="20"/>
      <c r="K15" s="21"/>
      <c r="L15" s="22" t="s">
        <v>49</v>
      </c>
    </row>
    <row r="16" customFormat="false" ht="15" hidden="false" customHeight="false" outlineLevel="0" collapsed="false">
      <c r="A16" s="18" t="s">
        <v>50</v>
      </c>
      <c r="B16" s="19" t="s">
        <v>40</v>
      </c>
      <c r="C16" s="20"/>
      <c r="D16" s="20"/>
      <c r="E16" s="20"/>
      <c r="F16" s="20"/>
      <c r="G16" s="20"/>
      <c r="H16" s="20"/>
      <c r="I16" s="20"/>
      <c r="J16" s="20"/>
      <c r="K16" s="21"/>
      <c r="L16" s="22" t="s">
        <v>51</v>
      </c>
    </row>
    <row r="17" customFormat="false" ht="15" hidden="false" customHeight="false" outlineLevel="0" collapsed="false">
      <c r="A17" s="18" t="s">
        <v>52</v>
      </c>
      <c r="B17" s="19" t="s">
        <v>40</v>
      </c>
      <c r="C17" s="20"/>
      <c r="D17" s="20"/>
      <c r="E17" s="20"/>
      <c r="F17" s="20"/>
      <c r="G17" s="20"/>
      <c r="H17" s="20"/>
      <c r="I17" s="20"/>
      <c r="J17" s="20"/>
      <c r="K17" s="21"/>
      <c r="L17" s="22" t="s">
        <v>53</v>
      </c>
    </row>
    <row r="18" customFormat="false" ht="22.35" hidden="false" customHeight="false" outlineLevel="0" collapsed="false">
      <c r="A18" s="18" t="s">
        <v>54</v>
      </c>
      <c r="B18" s="19" t="s">
        <v>55</v>
      </c>
      <c r="C18" s="20"/>
      <c r="D18" s="20"/>
      <c r="E18" s="20"/>
      <c r="F18" s="20"/>
      <c r="G18" s="20"/>
      <c r="H18" s="20"/>
      <c r="I18" s="20"/>
      <c r="J18" s="20"/>
      <c r="K18" s="21"/>
      <c r="L18" s="22" t="s">
        <v>56</v>
      </c>
    </row>
  </sheetData>
  <mergeCells count="4">
    <mergeCell ref="A1:L1"/>
    <mergeCell ref="A3:B3"/>
    <mergeCell ref="A8:L8"/>
    <mergeCell ref="A12:L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0"/>
    <col collapsed="false" customWidth="true" hidden="false" outlineLevel="0" max="4" min="4" style="0" width="46"/>
  </cols>
  <sheetData>
    <row r="1" customFormat="false" ht="25.5" hidden="false" customHeight="true" outlineLevel="0" collapsed="false">
      <c r="A1" s="1" t="s">
        <v>59</v>
      </c>
      <c r="B1" s="1"/>
      <c r="C1" s="1"/>
      <c r="D1" s="1"/>
    </row>
    <row r="3" customFormat="false" ht="15" hidden="false" customHeight="false" outlineLevel="0" collapsed="false">
      <c r="B3" s="7"/>
      <c r="C3" s="10" t="s">
        <v>60</v>
      </c>
    </row>
    <row r="5" customFormat="false" ht="15" hidden="false" customHeight="false" outlineLevel="0" collapsed="false">
      <c r="A5" s="11" t="s">
        <v>61</v>
      </c>
      <c r="B5" s="12" t="s">
        <v>62</v>
      </c>
      <c r="C5" s="12" t="s">
        <v>63</v>
      </c>
      <c r="D5" s="12" t="s">
        <v>64</v>
      </c>
    </row>
    <row r="6" customFormat="false" ht="15" hidden="false" customHeight="false" outlineLevel="0" collapsed="false">
      <c r="A6" s="18" t="s">
        <v>65</v>
      </c>
      <c r="B6" s="25"/>
      <c r="C6" s="25"/>
      <c r="D6" s="22" t="s">
        <v>66</v>
      </c>
    </row>
    <row r="7" customFormat="false" ht="22.35" hidden="false" customHeight="false" outlineLevel="0" collapsed="false">
      <c r="A7" s="18" t="s">
        <v>67</v>
      </c>
      <c r="B7" s="25"/>
      <c r="C7" s="25"/>
      <c r="D7" s="22" t="s">
        <v>68</v>
      </c>
    </row>
    <row r="8" customFormat="false" ht="15" hidden="false" customHeight="false" outlineLevel="0" collapsed="false">
      <c r="A8" s="18" t="s">
        <v>69</v>
      </c>
      <c r="B8" s="25"/>
      <c r="C8" s="25"/>
      <c r="D8" s="22" t="s">
        <v>70</v>
      </c>
    </row>
    <row r="9" customFormat="false" ht="15" hidden="false" customHeight="false" outlineLevel="0" collapsed="false">
      <c r="A9" s="18" t="s">
        <v>71</v>
      </c>
      <c r="B9" s="25"/>
      <c r="C9" s="25"/>
      <c r="D9" s="22" t="s">
        <v>72</v>
      </c>
    </row>
    <row r="10" customFormat="false" ht="15" hidden="false" customHeight="false" outlineLevel="0" collapsed="false">
      <c r="A10" s="18" t="s">
        <v>73</v>
      </c>
      <c r="B10" s="25"/>
      <c r="C10" s="25"/>
      <c r="D10" s="22" t="s">
        <v>74</v>
      </c>
    </row>
    <row r="11" customFormat="false" ht="15" hidden="false" customHeight="false" outlineLevel="0" collapsed="false">
      <c r="A11" s="18" t="s">
        <v>75</v>
      </c>
      <c r="B11" s="26"/>
      <c r="C11" s="26"/>
      <c r="D11" s="22" t="s">
        <v>76</v>
      </c>
    </row>
    <row r="13" customFormat="false" ht="15" hidden="false" customHeight="false" outlineLevel="0" collapsed="false">
      <c r="A13" s="13" t="s">
        <v>77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customFormat="false" ht="30" hidden="false" customHeight="true" outlineLevel="0" collapsed="false">
      <c r="A14" s="27" t="s">
        <v>78</v>
      </c>
      <c r="B14" s="28"/>
    </row>
    <row r="15" customFormat="false" ht="30" hidden="false" customHeight="true" outlineLevel="0" collapsed="false">
      <c r="A15" s="27" t="s">
        <v>79</v>
      </c>
      <c r="B15" s="28"/>
    </row>
  </sheetData>
  <mergeCells count="2">
    <mergeCell ref="A1:D1"/>
    <mergeCell ref="A13:L13"/>
  </mergeCells>
  <dataValidations count="2">
    <dataValidation allowBlank="true" errorStyle="stop" operator="between" showDropDown="false" showErrorMessage="false" showInputMessage="false" sqref="B14" type="list">
      <formula1>"Vaccination,Test-and-Slaughter"</formula1>
      <formula2>0</formula2>
    </dataValidation>
    <dataValidation allowBlank="true" errorStyle="stop" operator="between" showDropDown="false" showErrorMessage="false" showInputMessage="false" sqref="B15" type="list">
      <formula1>"Vaccination,Test-and-Slaughter"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2026-09-16T05:00:31Z</dcterms:created>
  <dc:creator>openpyxl</dc:creator>
  <dc:description/>
  <dc:language>en-US</dc:language>
  <cp:lastModifiedBy/>
  <dcterms:modified xsi:type="dcterms:W3CDTF">2026-09-16T05:00:31Z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